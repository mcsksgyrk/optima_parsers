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ics" sheetId="2" state="visible" r:id="rId3"/>
    <sheet name="Sheet2" sheetId="3" state="visible" r:id="rId4"/>
  </sheets>
  <definedNames>
    <definedName function="false" hidden="false" name="oszto" vbProcedure="false">ics!$T$3</definedName>
    <definedName function="false" hidden="false" name="VNa" vbProcedure="false">ics!$T$3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<sst xmlns="http://schemas.openxmlformats.org/spreadsheetml/2006/main" count="377" uniqueCount="276">
  <si>
    <t xml:space="preserve">AMPK+nS=&gt;AMPKa+nS</t>
  </si>
  <si>
    <t xml:space="preserve">A oszlop</t>
  </si>
  <si>
    <t xml:space="preserve">reakciók</t>
  </si>
  <si>
    <t xml:space="preserve">AMPKa=&gt;AMPK</t>
  </si>
  <si>
    <t xml:space="preserve">B oszlop</t>
  </si>
  <si>
    <t xml:space="preserve">reakciók együtthatói 1/min ill 1/nanoM min</t>
  </si>
  <si>
    <t xml:space="preserve">AMPKa+mTORa =&gt; AMPKa + mTOR </t>
  </si>
  <si>
    <t xml:space="preserve">C oszlop</t>
  </si>
  <si>
    <t xml:space="preserve">egyensúlyi reakcióknál a visszaalakulás együtthatója</t>
  </si>
  <si>
    <t xml:space="preserve">AMPKa+mTORa:ULKa =&gt; AMPKa + mTOR + ULKa</t>
  </si>
  <si>
    <t xml:space="preserve">D oszlop</t>
  </si>
  <si>
    <t xml:space="preserve">reakciók együtthatói 1/s ill 1/(mol/cm^3 sec)</t>
  </si>
  <si>
    <t xml:space="preserve">mTORa =&gt; mTOR </t>
  </si>
  <si>
    <t xml:space="preserve">E oszlop</t>
  </si>
  <si>
    <t xml:space="preserve">kiindulási modell együtthatóinak a sorszámai</t>
  </si>
  <si>
    <t xml:space="preserve">mTORa+AMPKa=&gt;mTORa+AMPK</t>
  </si>
  <si>
    <t xml:space="preserve">ULK + mTORa = mTORa:ULK </t>
  </si>
  <si>
    <t xml:space="preserve">ULKa + mTORa = mTORa:ULK</t>
  </si>
  <si>
    <t xml:space="preserve">AMPKa+ULK =&gt; AMPKa + ULKa </t>
  </si>
  <si>
    <t xml:space="preserve">ULKa =&gt; ULKa+phag</t>
  </si>
  <si>
    <t xml:space="preserve">AMPKa+TSC=&gt;AMPKa+TSCa</t>
  </si>
  <si>
    <t xml:space="preserve">RHEBa+TSCa=&gt;RHEB+TSCa</t>
  </si>
  <si>
    <t xml:space="preserve">RHEBa+mTOR=&gt;RHEBa+mTORa</t>
  </si>
  <si>
    <t xml:space="preserve">RHEB=&gt;RHEBa</t>
  </si>
  <si>
    <t xml:space="preserve">ULKa=&gt;ULK</t>
  </si>
  <si>
    <t xml:space="preserve">AMPKa+ULKa=&gt;AMPK+ULKa</t>
  </si>
  <si>
    <t xml:space="preserve">phag+BEC1=&gt;preAUT+BEC1</t>
  </si>
  <si>
    <t xml:space="preserve">phag+BEC1:UVG=&gt;preAUT+BEC1:UVG</t>
  </si>
  <si>
    <t xml:space="preserve">BEC1+UVG=BEC1:UVG</t>
  </si>
  <si>
    <t xml:space="preserve">NO01=&gt;BEC1</t>
  </si>
  <si>
    <t xml:space="preserve">BEC1c=&gt;cytc+BEC1c</t>
  </si>
  <si>
    <t xml:space="preserve">BEC1c=&gt;NO02</t>
  </si>
  <si>
    <t xml:space="preserve">phag=&gt;NO03</t>
  </si>
  <si>
    <t xml:space="preserve">ATG5+phag=&gt;ATG5+AUT</t>
  </si>
  <si>
    <t xml:space="preserve">AUT=&gt;NO04</t>
  </si>
  <si>
    <t xml:space="preserve">AUT+nS=&gt;AUT+NO05</t>
  </si>
  <si>
    <t xml:space="preserve">AUT+eS=&gt;AUT+NO07</t>
  </si>
  <si>
    <t xml:space="preserve">NO08=&gt;phag</t>
  </si>
  <si>
    <t xml:space="preserve">eS+PERK=&gt;PERKa</t>
  </si>
  <si>
    <t xml:space="preserve">ATF4a=&gt;phag</t>
  </si>
  <si>
    <t xml:space="preserve">PERKa+ATF4=&gt;PERK+ATF4a</t>
  </si>
  <si>
    <t xml:space="preserve">preAUT=&gt;NO09</t>
  </si>
  <si>
    <t xml:space="preserve">dS+DAPK=&gt;dS+DAPKa</t>
  </si>
  <si>
    <t xml:space="preserve">DAPKa=&gt;DAPK</t>
  </si>
  <si>
    <t xml:space="preserve">EPACa+PLCe=&gt;EPACa+PLCea</t>
  </si>
  <si>
    <t xml:space="preserve">PLCea=&gt;PLCe</t>
  </si>
  <si>
    <t xml:space="preserve">PLCea+PIP2=&gt;PLCea+IP3</t>
  </si>
  <si>
    <t xml:space="preserve">Ca2er+IP3R:IP3=&gt;Ca2ic+IP3R:IP3</t>
  </si>
  <si>
    <t xml:space="preserve">Ca2ic+SERCA=&gt;Ca2er+SERCA</t>
  </si>
  <si>
    <t xml:space="preserve">Ca2ic+Bax=&gt;Ca2ic+Baxa</t>
  </si>
  <si>
    <t xml:space="preserve">IP3R+IP3=IP3R:IP3</t>
  </si>
  <si>
    <t xml:space="preserve">IP3=&gt;IP2</t>
  </si>
  <si>
    <t xml:space="preserve">IP2=&gt;IP</t>
  </si>
  <si>
    <t xml:space="preserve">IP=&gt;Ins</t>
  </si>
  <si>
    <t xml:space="preserve">Ins=&gt;PIP2</t>
  </si>
  <si>
    <t xml:space="preserve">IP3R:IP3+phag=&gt;IP3R:IP3</t>
  </si>
  <si>
    <t xml:space="preserve">Ca2ic+CaMKKb=&gt;Ca2ic+CaMKKba</t>
  </si>
  <si>
    <t xml:space="preserve">CaMKKba=&gt;Ca2ic+CaMKKb</t>
  </si>
  <si>
    <t xml:space="preserve">AMPK+CaMKKba=&gt;AMPKa+CaMKKba</t>
  </si>
  <si>
    <t xml:space="preserve">IP3R+BCL2=IP3R:BCL2</t>
  </si>
  <si>
    <t xml:space="preserve">BEC1+BCL2=BEC1:BCL2</t>
  </si>
  <si>
    <t xml:space="preserve">BCL2p=&gt;BCL2</t>
  </si>
  <si>
    <t xml:space="preserve">Ca2ic+Calpain=&gt;Ca2ic+Calpaina</t>
  </si>
  <si>
    <t xml:space="preserve">Calpaina=&gt;Calpain</t>
  </si>
  <si>
    <t xml:space="preserve">Calpaina+Ga=&gt;Gaa+Calpaina</t>
  </si>
  <si>
    <t xml:space="preserve">Calpaina+ATG5=&gt;Calpaina+ATG5t</t>
  </si>
  <si>
    <t xml:space="preserve">ATG5t+BCL2=ATG5:BCL2</t>
  </si>
  <si>
    <t xml:space="preserve">Calpaina+Bid=&gt;Calpaina+tBid</t>
  </si>
  <si>
    <t xml:space="preserve">Calpaina+BEC1=&gt;Calpaina+NO10</t>
  </si>
  <si>
    <t xml:space="preserve">AC+Gaa=AC:Gaa</t>
  </si>
  <si>
    <t xml:space="preserve">AC:Gaa=&gt;AC:Gaa+cAMP</t>
  </si>
  <si>
    <t xml:space="preserve">cAMP=&gt;NO11</t>
  </si>
  <si>
    <t xml:space="preserve">cAMP+EPAC=&gt;cAMP+EPACa</t>
  </si>
  <si>
    <t xml:space="preserve">EPACa=&gt;EPAC</t>
  </si>
  <si>
    <t xml:space="preserve">Ga=&gt;G</t>
  </si>
  <si>
    <t xml:space="preserve">AC+Ga=AC:Ga</t>
  </si>
  <si>
    <t xml:space="preserve">Gabg+GPCRa=&gt;Ga+Gbg+GPCRa</t>
  </si>
  <si>
    <t xml:space="preserve">Ga+Gbg=&gt;Gabg</t>
  </si>
  <si>
    <t xml:space="preserve">BCL2+Bax=BCL2:Bax</t>
  </si>
  <si>
    <t xml:space="preserve">Bax+p53m=&gt;Bax*+p53m</t>
  </si>
  <si>
    <t xml:space="preserve">Baxa=&gt;Bax</t>
  </si>
  <si>
    <t xml:space="preserve">Bax=&gt;NO12</t>
  </si>
  <si>
    <t xml:space="preserve">UVG+Bax=UVG:Bax</t>
  </si>
  <si>
    <t xml:space="preserve">cytc+caspase=&gt;cytc+caspasea</t>
  </si>
  <si>
    <t xml:space="preserve">Bid+caspasea=&gt;tBid+caspasea</t>
  </si>
  <si>
    <t xml:space="preserve">tBid=&gt;NO13</t>
  </si>
  <si>
    <t xml:space="preserve">NO14=&gt;Bid</t>
  </si>
  <si>
    <t xml:space="preserve">JNKa+caspase=&gt;JNKa+caspasea</t>
  </si>
  <si>
    <t xml:space="preserve">NO27+dS=&gt;dS+p53c</t>
  </si>
  <si>
    <t xml:space="preserve">p53c=&gt;NO14</t>
  </si>
  <si>
    <t xml:space="preserve">p53c=p53a</t>
  </si>
  <si>
    <t xml:space="preserve">NO15+p53a=&gt;p53a+Mdm2</t>
  </si>
  <si>
    <t xml:space="preserve">p53c+Mdm2=&gt;p53m+Mdm2</t>
  </si>
  <si>
    <t xml:space="preserve">NO15+p53a=&gt;p53a+Bax</t>
  </si>
  <si>
    <t xml:space="preserve">p53m+BCL2=p53:BCL2</t>
  </si>
  <si>
    <t xml:space="preserve">Mdm2=&gt;NO17</t>
  </si>
  <si>
    <t xml:space="preserve">NO18+p53a=&gt;p53a+DRAM</t>
  </si>
  <si>
    <t xml:space="preserve">DRAM=&gt;NO19</t>
  </si>
  <si>
    <t xml:space="preserve">DRAM+preAUT=&gt;DRAM+AUT</t>
  </si>
  <si>
    <t xml:space="preserve">p53c+AMPKa=&gt;p53c+AMPK</t>
  </si>
  <si>
    <t xml:space="preserve">NO20+p53a=&gt;p53a+PUMA</t>
  </si>
  <si>
    <t xml:space="preserve">PUMA+BCL2=PUMA:BCL2</t>
  </si>
  <si>
    <t xml:space="preserve">PUMA=&gt;NO21</t>
  </si>
  <si>
    <t xml:space="preserve">NO22+Baxa=&gt;cytc+Baxa</t>
  </si>
  <si>
    <t xml:space="preserve">cytc=&gt;NO23</t>
  </si>
  <si>
    <t xml:space="preserve">mTORa+TFEBi=&gt;mTORa+TFEB</t>
  </si>
  <si>
    <t xml:space="preserve">phag+TFEB=&gt;AUT+TFEB</t>
  </si>
  <si>
    <t xml:space="preserve">TFEB=&gt;TFEBi</t>
  </si>
  <si>
    <t xml:space="preserve">Ins+PI3K=&gt;Ins+PI3Ka</t>
  </si>
  <si>
    <t xml:space="preserve">PI3Ka=&gt;PI3K</t>
  </si>
  <si>
    <t xml:space="preserve">AKT+PI3Ka=&gt;AKTa+PI3K</t>
  </si>
  <si>
    <t xml:space="preserve">AKTa=&gt;AKT</t>
  </si>
  <si>
    <t xml:space="preserve">AKTa+TSCa=&gt;AKTa+TSC</t>
  </si>
  <si>
    <t xml:space="preserve">AKTa+mTORa:ULKa=&gt;AKTa+mTOR+ULKa</t>
  </si>
  <si>
    <t xml:space="preserve">JNKa+BCL2=&gt;JNKa+BCL2p</t>
  </si>
  <si>
    <t xml:space="preserve">JNKa+BEC1:BCL2=&gt;JNKa+BEC1+BCL2p</t>
  </si>
  <si>
    <t xml:space="preserve">DAPKa+BEC1:BCL2=&gt;DAPKa+BEC1+BCL2</t>
  </si>
  <si>
    <t xml:space="preserve">eS+JNK=&gt;eS+JNKa</t>
  </si>
  <si>
    <t xml:space="preserve">JNKa=&gt;JNK</t>
  </si>
  <si>
    <t xml:space="preserve">nS+MAPK15=&gt;nS+MAPK15a</t>
  </si>
  <si>
    <t xml:space="preserve">MAPK15a=&gt;MAPK15</t>
  </si>
  <si>
    <t xml:space="preserve">PKA+MAPK15a=&gt;PKAa+MAPK15a</t>
  </si>
  <si>
    <t xml:space="preserve">PKAa=&gt;PKA</t>
  </si>
  <si>
    <t xml:space="preserve">PKAa+phag=&gt;PKAa+preAUT</t>
  </si>
  <si>
    <t xml:space="preserve">PKAa+preAUT=&gt;PKAa+AUT</t>
  </si>
  <si>
    <t xml:space="preserve">NO24=&gt;ATG5</t>
  </si>
  <si>
    <t xml:space="preserve">ATG5t=&gt;REF</t>
  </si>
  <si>
    <t xml:space="preserve">ATG5=&gt;REF</t>
  </si>
  <si>
    <t xml:space="preserve">porcasp3</t>
  </si>
  <si>
    <t xml:space="preserve">nM</t>
  </si>
  <si>
    <t xml:space="preserve">Neumann</t>
  </si>
  <si>
    <t xml:space="preserve">procsp8</t>
  </si>
  <si>
    <t xml:space="preserve">11-64.477</t>
  </si>
  <si>
    <t xml:space="preserve">Kallenberger</t>
  </si>
  <si>
    <t xml:space="preserve">szerintem csoportosítsuk a fehérjék IC-jét</t>
  </si>
  <si>
    <t xml:space="preserve">v(dc3)</t>
  </si>
  <si>
    <t xml:space="preserve">Na</t>
  </si>
  <si>
    <t xml:space="preserve">caspase</t>
  </si>
  <si>
    <t xml:space="preserve">bagci</t>
  </si>
  <si>
    <t xml:space="preserve">raychaudhuri</t>
  </si>
  <si>
    <t xml:space="preserve">0.1-50.0</t>
  </si>
  <si>
    <t xml:space="preserve">mol/cm3</t>
  </si>
  <si>
    <t xml:space="preserve">10.0-80.0</t>
  </si>
  <si>
    <t xml:space="preserve">0.1-100</t>
  </si>
  <si>
    <t xml:space="preserve">mol/l</t>
  </si>
  <si>
    <t xml:space="preserve">Ca2ex</t>
  </si>
  <si>
    <t xml:space="preserve">tiveci</t>
  </si>
  <si>
    <t xml:space="preserve">0.1-500</t>
  </si>
  <si>
    <t xml:space="preserve">nmol/l</t>
  </si>
  <si>
    <t xml:space="preserve">Ca2ic</t>
  </si>
  <si>
    <t xml:space="preserve">100-200</t>
  </si>
  <si>
    <t xml:space="preserve">dolan</t>
  </si>
  <si>
    <t xml:space="preserve">lemon</t>
  </si>
  <si>
    <t xml:space="preserve">wang</t>
  </si>
  <si>
    <t xml:space="preserve">0.1-1000</t>
  </si>
  <si>
    <t xml:space="preserve">Ca2er</t>
  </si>
  <si>
    <t xml:space="preserve">1000-2000</t>
  </si>
  <si>
    <t xml:space="preserve">eungdamrong</t>
  </si>
  <si>
    <t xml:space="preserve">Egyéb molekulák IC-je maradhat exakt érték</t>
  </si>
  <si>
    <t xml:space="preserve">AMPK</t>
  </si>
  <si>
    <t xml:space="preserve">Sonntag</t>
  </si>
  <si>
    <t xml:space="preserve">PIP2</t>
  </si>
  <si>
    <t xml:space="preserve">16-33</t>
  </si>
  <si>
    <t xml:space="preserve">hat</t>
  </si>
  <si>
    <t xml:space="preserve">IP</t>
  </si>
  <si>
    <t xml:space="preserve">10-200</t>
  </si>
  <si>
    <t xml:space="preserve">idk</t>
  </si>
  <si>
    <t xml:space="preserve">IP2</t>
  </si>
  <si>
    <t xml:space="preserve">IP3</t>
  </si>
  <si>
    <t xml:space="preserve">dolan, lemon</t>
  </si>
  <si>
    <t xml:space="preserve">Ins</t>
  </si>
  <si>
    <t xml:space="preserve">https://www.ncbi.nlm.nih.gov/pmc/articles/PMC9070113/</t>
  </si>
  <si>
    <t xml:space="preserve">IP3R</t>
  </si>
  <si>
    <t xml:space="preserve">0.3-1.2</t>
  </si>
  <si>
    <t xml:space="preserve">clusterezés</t>
  </si>
  <si>
    <t xml:space="preserve">Gpr_basal</t>
  </si>
  <si>
    <t xml:space="preserve">smith</t>
  </si>
  <si>
    <t xml:space="preserve">min-max</t>
  </si>
  <si>
    <t xml:space="preserve">G</t>
  </si>
  <si>
    <t xml:space="preserve">Ga</t>
  </si>
  <si>
    <t xml:space="preserve">100-205</t>
  </si>
  <si>
    <t xml:space="preserve">tiveci,smith</t>
  </si>
  <si>
    <t xml:space="preserve">Gbg</t>
  </si>
  <si>
    <t xml:space="preserve">GPCRa</t>
  </si>
  <si>
    <t xml:space="preserve">SERCA</t>
  </si>
  <si>
    <t xml:space="preserve">1.5-37.5</t>
  </si>
  <si>
    <t xml:space="preserve">dolan,eundamrong</t>
  </si>
  <si>
    <t xml:space="preserve">Átváltó</t>
  </si>
  <si>
    <t xml:space="preserve">CaMKKb</t>
  </si>
  <si>
    <t xml:space="preserve">2.4-11</t>
  </si>
  <si>
    <t xml:space="preserve">db=</t>
  </si>
  <si>
    <t xml:space="preserve">cAMP</t>
  </si>
  <si>
    <t xml:space="preserve">iancu</t>
  </si>
  <si>
    <t xml:space="preserve">nakano</t>
  </si>
  <si>
    <t xml:space="preserve">nM=</t>
  </si>
  <si>
    <t xml:space="preserve">AC</t>
  </si>
  <si>
    <t xml:space="preserve">Iancu</t>
  </si>
  <si>
    <t xml:space="preserve">PKA</t>
  </si>
  <si>
    <t xml:space="preserve">Nakano</t>
  </si>
  <si>
    <t xml:space="preserve">AKT</t>
  </si>
  <si>
    <t xml:space="preserve">66-200</t>
  </si>
  <si>
    <t xml:space="preserve">shin</t>
  </si>
  <si>
    <t xml:space="preserve">Bid</t>
  </si>
  <si>
    <t xml:space="preserve">4.0-10.0</t>
  </si>
  <si>
    <t xml:space="preserve">nullad rendű az nm/idő, átváltani</t>
  </si>
  <si>
    <t xml:space="preserve">Bax</t>
  </si>
  <si>
    <t xml:space="preserve">4-17.0</t>
  </si>
  <si>
    <t xml:space="preserve">bagci,raychadhuri</t>
  </si>
  <si>
    <t xml:space="preserve">BCL2</t>
  </si>
  <si>
    <t xml:space="preserve">4-20.0</t>
  </si>
  <si>
    <t xml:space="preserve">cytc</t>
  </si>
  <si>
    <t xml:space="preserve">p53c</t>
  </si>
  <si>
    <t xml:space="preserve">chong</t>
  </si>
  <si>
    <t xml:space="preserve">geva</t>
  </si>
  <si>
    <t xml:space="preserve">tBid</t>
  </si>
  <si>
    <t xml:space="preserve">EPAC</t>
  </si>
  <si>
    <t xml:space="preserve">1.0-10.0</t>
  </si>
  <si>
    <t xml:space="preserve">guess</t>
  </si>
  <si>
    <t xml:space="preserve">Calpain</t>
  </si>
  <si>
    <t xml:space="preserve">Ashraf</t>
  </si>
  <si>
    <t xml:space="preserve">calpain=PKC</t>
  </si>
  <si>
    <t xml:space="preserve">PLCe</t>
  </si>
  <si>
    <t xml:space="preserve">0.02-1</t>
  </si>
  <si>
    <t xml:space="preserve">eundamrong,wang</t>
  </si>
  <si>
    <t xml:space="preserve">Mdm2*</t>
  </si>
  <si>
    <t xml:space="preserve">Mdm2</t>
  </si>
  <si>
    <t xml:space="preserve">chong,geva</t>
  </si>
  <si>
    <t xml:space="preserve">PUMA</t>
  </si>
  <si>
    <t xml:space="preserve">chong2</t>
  </si>
  <si>
    <t xml:space="preserve">ugyan az a szerző, 2 cikk, lehet fordítva van a link</t>
  </si>
  <si>
    <t xml:space="preserve">ATF4</t>
  </si>
  <si>
    <t xml:space="preserve">1-1000</t>
  </si>
  <si>
    <t xml:space="preserve">mivel TF...</t>
  </si>
  <si>
    <t xml:space="preserve">PERK</t>
  </si>
  <si>
    <t xml:space="preserve">kináz szint</t>
  </si>
  <si>
    <t xml:space="preserve">JNK</t>
  </si>
  <si>
    <t xml:space="preserve">10-100</t>
  </si>
  <si>
    <t xml:space="preserve">sundaramurthy</t>
  </si>
  <si>
    <t xml:space="preserve">DRAM</t>
  </si>
  <si>
    <t xml:space="preserve">Tavassoly</t>
  </si>
  <si>
    <t xml:space="preserve">DAPK</t>
  </si>
  <si>
    <t xml:space="preserve">UVG</t>
  </si>
  <si>
    <t xml:space="preserve">1-100</t>
  </si>
  <si>
    <t xml:space="preserve">BEC1</t>
  </si>
  <si>
    <t xml:space="preserve">100-300</t>
  </si>
  <si>
    <t xml:space="preserve">ATG5</t>
  </si>
  <si>
    <t xml:space="preserve">Broadbent</t>
  </si>
  <si>
    <t xml:space="preserve">TSC</t>
  </si>
  <si>
    <t xml:space="preserve">250-750</t>
  </si>
  <si>
    <t xml:space="preserve">dalle</t>
  </si>
  <si>
    <t xml:space="preserve">varusai</t>
  </si>
  <si>
    <t xml:space="preserve">broadbent</t>
  </si>
  <si>
    <t xml:space="preserve">bidkhori</t>
  </si>
  <si>
    <t xml:space="preserve">RHEB</t>
  </si>
  <si>
    <t xml:space="preserve">ez tsc-mtor között</t>
  </si>
  <si>
    <t xml:space="preserve">PKC*</t>
  </si>
  <si>
    <t xml:space="preserve">muller</t>
  </si>
  <si>
    <t xml:space="preserve">Ezt az egyenletet kihagytam, PKC csinál autofagoszomát preautofagoszómából, de semmi más nem reakcióban nem szerepel. A reakcióban folyamatosan fogy és PKA* lesz belőle</t>
  </si>
  <si>
    <t xml:space="preserve">ULK</t>
  </si>
  <si>
    <t xml:space="preserve">TFEB</t>
  </si>
  <si>
    <t xml:space="preserve">mTOR</t>
  </si>
  <si>
    <t xml:space="preserve">dorvash</t>
  </si>
  <si>
    <t xml:space="preserve">Dorvash-ban van rapamycin is!</t>
  </si>
  <si>
    <t xml:space="preserve">MAPK15</t>
  </si>
  <si>
    <t xml:space="preserve">PI3K</t>
  </si>
  <si>
    <t xml:space="preserve">40-200</t>
  </si>
  <si>
    <t xml:space="preserve">Bidkhori</t>
  </si>
  <si>
    <t xml:space="preserve">AUT</t>
  </si>
  <si>
    <t xml:space="preserve">https://www.tandfonline.com/doi/full/10.1080/15548627.2018.1469590</t>
  </si>
  <si>
    <t xml:space="preserve">Insulin</t>
  </si>
  <si>
    <t xml:space="preserve">0.3-3</t>
  </si>
  <si>
    <t xml:space="preserve">mTORa</t>
  </si>
  <si>
    <t xml:space="preserve">smTORa</t>
  </si>
  <si>
    <t xml:space="preserve">sULK</t>
  </si>
  <si>
    <t xml:space="preserve">sAMPK</t>
  </si>
  <si>
    <t xml:space="preserve">sAUT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</si>
</sst>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d\-mmm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rgb="FF00B0F0"/>
      <name val="Calibri"/>
      <family val="2"/>
      <charset val="1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cbi.nlm.nih.gov/pmc/articles/PMC2858442/" TargetMode="External"/><Relationship Id="rId2" Type="http://schemas.openxmlformats.org/officeDocument/2006/relationships/hyperlink" Target="https://www.ncbi.nlm.nih.gov/pmc/articles/PMC2858442/" TargetMode="External"/><Relationship Id="rId3" Type="http://schemas.openxmlformats.org/officeDocument/2006/relationships/hyperlink" Target="https://www.ncbi.nlm.nih.gov/pmc/articles/PMC4208692/" TargetMode="External"/><Relationship Id="rId4" Type="http://schemas.openxmlformats.org/officeDocument/2006/relationships/hyperlink" Target="https://pubmed.ncbi.nlm.nih.gov/16339882/" TargetMode="External"/><Relationship Id="rId5" Type="http://schemas.openxmlformats.org/officeDocument/2006/relationships/hyperlink" Target="https://pubmed.ncbi.nlm.nih.gov/15833443/" TargetMode="External"/><Relationship Id="rId6" Type="http://schemas.openxmlformats.org/officeDocument/2006/relationships/hyperlink" Target="https://pubmed.ncbi.nlm.nih.gov/24806937/" TargetMode="External"/><Relationship Id="rId7" Type="http://schemas.openxmlformats.org/officeDocument/2006/relationships/hyperlink" Target="https://pubmed.ncbi.nlm.nih.gov/12782119/" TargetMode="External"/><Relationship Id="rId8" Type="http://schemas.openxmlformats.org/officeDocument/2006/relationships/hyperlink" Target="https://pubmed.ncbi.nlm.nih.gov/17188305/" TargetMode="External"/><Relationship Id="rId9" Type="http://schemas.openxmlformats.org/officeDocument/2006/relationships/hyperlink" Target="https://pubmed.ncbi.nlm.nih.gov/17098795/" TargetMode="External"/><Relationship Id="rId10" Type="http://schemas.openxmlformats.org/officeDocument/2006/relationships/hyperlink" Target="https://pubmed.ncbi.nlm.nih.gov/22452783/" TargetMode="External"/><Relationship Id="rId11" Type="http://schemas.openxmlformats.org/officeDocument/2006/relationships/hyperlink" Target="https://www.ncbi.nlm.nih.gov/pmc/articles/PMC9070113/" TargetMode="External"/><Relationship Id="rId12" Type="http://schemas.openxmlformats.org/officeDocument/2006/relationships/hyperlink" Target="https://pubmed.ncbi.nlm.nih.gov/19285552/" TargetMode="External"/><Relationship Id="rId13" Type="http://schemas.openxmlformats.org/officeDocument/2006/relationships/hyperlink" Target="https://pubmed.ncbi.nlm.nih.gov/17293406/" TargetMode="External"/><Relationship Id="rId14" Type="http://schemas.openxmlformats.org/officeDocument/2006/relationships/hyperlink" Target="https://pubmed.ncbi.nlm.nih.gov/20169176/" TargetMode="External"/><Relationship Id="rId15" Type="http://schemas.openxmlformats.org/officeDocument/2006/relationships/hyperlink" Target="https://pubmed.ncbi.nlm.nih.gov/27527217/" TargetMode="External"/><Relationship Id="rId16" Type="http://schemas.openxmlformats.org/officeDocument/2006/relationships/hyperlink" Target="https://pubmed.ncbi.nlm.nih.gov/26928575/" TargetMode="External"/><Relationship Id="rId17" Type="http://schemas.openxmlformats.org/officeDocument/2006/relationships/hyperlink" Target="https://pubmed.ncbi.nlm.nih.gov/23502249/" TargetMode="External"/><Relationship Id="rId18" Type="http://schemas.openxmlformats.org/officeDocument/2006/relationships/hyperlink" Target="https://www.sciencedirect.com/science/article/abs/pii/S0022519318305551" TargetMode="External"/><Relationship Id="rId19" Type="http://schemas.openxmlformats.org/officeDocument/2006/relationships/hyperlink" Target="https://pubmed.ncbi.nlm.nih.gov/16773083/" TargetMode="External"/><Relationship Id="rId20" Type="http://schemas.openxmlformats.org/officeDocument/2006/relationships/hyperlink" Target="https://link.springer.com/chapter/10.1007/978-3-030-17938-0_6" TargetMode="External"/><Relationship Id="rId21" Type="http://schemas.openxmlformats.org/officeDocument/2006/relationships/hyperlink" Target="https://pubmed.ncbi.nlm.nih.gov/25433195/" TargetMode="External"/><Relationship Id="rId22" Type="http://schemas.openxmlformats.org/officeDocument/2006/relationships/hyperlink" Target="https://www.ncbi.nlm.nih.gov/pmc/articles/PMC2646859/" TargetMode="External"/><Relationship Id="rId23" Type="http://schemas.openxmlformats.org/officeDocument/2006/relationships/hyperlink" Target="https://www.ncbi.nlm.nih.gov/pmc/articles/PMC4429580/" TargetMode="External"/><Relationship Id="rId24" Type="http://schemas.openxmlformats.org/officeDocument/2006/relationships/hyperlink" Target="https://pubmed.ncbi.nlm.nih.gov/37115157/" TargetMode="External"/><Relationship Id="rId25" Type="http://schemas.openxmlformats.org/officeDocument/2006/relationships/hyperlink" Target="https://pubmed.ncbi.nlm.nih.gov/22457331/" TargetMode="External"/><Relationship Id="rId26" Type="http://schemas.openxmlformats.org/officeDocument/2006/relationships/hyperlink" Target="https://pubmed.ncbi.nlm.nih.gov/29330362/" TargetMode="External"/><Relationship Id="rId27" Type="http://schemas.openxmlformats.org/officeDocument/2006/relationships/hyperlink" Target="https://pubmed.ncbi.nlm.nih.gov/23133538/" TargetMode="External"/><Relationship Id="rId28" Type="http://schemas.openxmlformats.org/officeDocument/2006/relationships/hyperlink" Target="https://pubmed.ncbi.nlm.nih.gov/18171696/" TargetMode="External"/><Relationship Id="rId29" Type="http://schemas.openxmlformats.org/officeDocument/2006/relationships/hyperlink" Target="https://pubmed.ncbi.nlm.nih.gov/31493485/" TargetMode="External"/><Relationship Id="rId30" Type="http://schemas.openxmlformats.org/officeDocument/2006/relationships/hyperlink" Target="https://www.tandfonline.com/doi/full/10.1080/15548627.2018.146959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A136" activeCellId="0" sqref="A136"/>
    </sheetView>
  </sheetViews>
  <sheetFormatPr defaultColWidth="11.0078125" defaultRowHeight="15.75" zeroHeight="false" outlineLevelRow="0" outlineLevelCol="0"/>
  <cols>
    <col collapsed="false" customWidth="true" hidden="false" outlineLevel="0" max="1" min="1" style="1" width="63.66"/>
    <col collapsed="false" customWidth="true" hidden="false" outlineLevel="0" max="2" min="2" style="1" width="10.83"/>
  </cols>
  <sheetData>
    <row r="1" customFormat="false" ht="15.75" hidden="false" customHeight="false" outlineLevel="0" collapsed="false">
      <c r="A1" s="1" t="s">
        <v>0</v>
      </c>
      <c r="B1" s="1" t="n">
        <v>0.000164</v>
      </c>
      <c r="D1" s="0" t="n">
        <f aca="false">B1/(60*10^(-9))</f>
        <v>2733.33333333333</v>
      </c>
      <c r="F1" s="0" t="s">
        <v>1</v>
      </c>
      <c r="G1" s="0" t="s">
        <v>2</v>
      </c>
    </row>
    <row r="2" customFormat="false" ht="15.75" hidden="false" customHeight="false" outlineLevel="0" collapsed="false">
      <c r="A2" s="1" t="s">
        <v>3</v>
      </c>
      <c r="B2" s="1" t="n">
        <v>0.0159</v>
      </c>
      <c r="D2" s="0" t="n">
        <f aca="false">B2/60</f>
        <v>0.000265</v>
      </c>
      <c r="F2" s="0" t="s">
        <v>4</v>
      </c>
      <c r="G2" s="0" t="s">
        <v>5</v>
      </c>
    </row>
    <row r="3" customFormat="false" ht="15.75" hidden="false" customHeight="false" outlineLevel="0" collapsed="false">
      <c r="A3" s="1" t="s">
        <v>6</v>
      </c>
      <c r="B3" s="1" t="n">
        <v>0.000167</v>
      </c>
      <c r="D3" s="0" t="n">
        <f aca="false">B3/(60*10^(-6))</f>
        <v>2.78333333333333</v>
      </c>
      <c r="F3" s="0" t="s">
        <v>7</v>
      </c>
      <c r="G3" s="0" t="s">
        <v>8</v>
      </c>
    </row>
    <row r="4" customFormat="false" ht="15.75" hidden="false" customHeight="false" outlineLevel="0" collapsed="false">
      <c r="A4" s="1" t="s">
        <v>9</v>
      </c>
      <c r="B4" s="1" t="n">
        <v>0.00017</v>
      </c>
      <c r="D4" s="0" t="n">
        <f aca="false">B4/(60*10^(-6))</f>
        <v>2.83333333333333</v>
      </c>
      <c r="F4" s="0" t="s">
        <v>10</v>
      </c>
      <c r="G4" s="0" t="s">
        <v>11</v>
      </c>
    </row>
    <row r="5" customFormat="false" ht="15.75" hidden="false" customHeight="false" outlineLevel="0" collapsed="false">
      <c r="A5" s="1" t="s">
        <v>12</v>
      </c>
      <c r="B5" s="1" t="n">
        <v>0.01682</v>
      </c>
      <c r="F5" s="0" t="s">
        <v>13</v>
      </c>
      <c r="G5" s="0" t="s">
        <v>14</v>
      </c>
    </row>
    <row r="6" customFormat="false" ht="15.75" hidden="false" customHeight="false" outlineLevel="0" collapsed="false">
      <c r="A6" s="1" t="s">
        <v>15</v>
      </c>
      <c r="B6" s="1" t="n">
        <v>0.000167</v>
      </c>
      <c r="D6" s="0" t="n">
        <f aca="false">B6/(60*10^(-6))</f>
        <v>2.78333333333333</v>
      </c>
    </row>
    <row r="7" customFormat="false" ht="15.75" hidden="false" customHeight="false" outlineLevel="0" collapsed="false">
      <c r="A7" s="1" t="s">
        <v>16</v>
      </c>
      <c r="B7" s="1" t="n">
        <v>0.000159</v>
      </c>
      <c r="C7" s="0" t="n">
        <v>0.0168</v>
      </c>
      <c r="D7" s="0" t="n">
        <f aca="false">B7/(60*10^(-6))</f>
        <v>2.65</v>
      </c>
      <c r="E7" s="0" t="n">
        <f aca="false">C7/(60)</f>
        <v>0.00028</v>
      </c>
    </row>
    <row r="8" customFormat="false" ht="15.75" hidden="false" customHeight="false" outlineLevel="0" collapsed="false">
      <c r="E8" s="0" t="n">
        <f aca="false">C8/(60*10^(-9))</f>
        <v>0</v>
      </c>
    </row>
    <row r="9" customFormat="false" ht="15.75" hidden="false" customHeight="false" outlineLevel="0" collapsed="false">
      <c r="A9" s="1" t="s">
        <v>17</v>
      </c>
      <c r="B9" s="1" t="n">
        <v>0.000158</v>
      </c>
      <c r="C9" s="0" t="n">
        <v>0.0165</v>
      </c>
      <c r="D9" s="0" t="n">
        <f aca="false">B9/(60*10^(-6))</f>
        <v>2.63333333333333</v>
      </c>
      <c r="E9" s="0" t="n">
        <f aca="false">C9/(60*10^(-9))</f>
        <v>275000</v>
      </c>
    </row>
    <row r="10" customFormat="false" ht="15.75" hidden="false" customHeight="false" outlineLevel="0" collapsed="false">
      <c r="E10" s="0" t="n">
        <f aca="false">C10/(60*10^(-9))</f>
        <v>0</v>
      </c>
    </row>
    <row r="11" customFormat="false" ht="15.75" hidden="false" customHeight="false" outlineLevel="0" collapsed="false">
      <c r="A11" s="1" t="s">
        <v>18</v>
      </c>
      <c r="B11" s="1" t="n">
        <v>0.000166</v>
      </c>
      <c r="D11" s="0" t="n">
        <f aca="false">B11/(60*10^(-6))</f>
        <v>2.76666666666667</v>
      </c>
      <c r="E11" s="0" t="n">
        <f aca="false">C11/(60*10^(-9))</f>
        <v>0</v>
      </c>
    </row>
    <row r="12" customFormat="false" ht="15.75" hidden="false" customHeight="false" outlineLevel="0" collapsed="false">
      <c r="A12" s="1" t="s">
        <v>19</v>
      </c>
      <c r="B12" s="1" t="n">
        <v>0.0164</v>
      </c>
      <c r="E12" s="0" t="n">
        <f aca="false">C12/(60*10^(-9))</f>
        <v>0</v>
      </c>
    </row>
    <row r="13" customFormat="false" ht="15.75" hidden="false" customHeight="false" outlineLevel="0" collapsed="false">
      <c r="A13" s="1" t="s">
        <v>20</v>
      </c>
      <c r="B13" s="1" t="n">
        <v>0.000171</v>
      </c>
      <c r="D13" s="1" t="n">
        <f aca="false">B13/(60*10^(-6))</f>
        <v>2.85</v>
      </c>
      <c r="E13" s="0" t="n">
        <f aca="false">C13/(60*10^(-9))</f>
        <v>0</v>
      </c>
    </row>
    <row r="14" customFormat="false" ht="15.75" hidden="false" customHeight="false" outlineLevel="0" collapsed="false">
      <c r="A14" s="1" t="s">
        <v>21</v>
      </c>
      <c r="B14" s="1" t="n">
        <v>0.00169</v>
      </c>
      <c r="D14" s="1" t="n">
        <f aca="false">B14/(60*10^(-6))</f>
        <v>28.1666666666667</v>
      </c>
      <c r="E14" s="0" t="n">
        <f aca="false">C14/(60*10^(-9))</f>
        <v>0</v>
      </c>
    </row>
    <row r="15" customFormat="false" ht="15.75" hidden="false" customHeight="false" outlineLevel="0" collapsed="false">
      <c r="A15" s="1" t="s">
        <v>22</v>
      </c>
      <c r="B15" s="1" t="n">
        <v>0.00017</v>
      </c>
      <c r="D15" s="1" t="n">
        <f aca="false">B15/(60*10^(-12))</f>
        <v>2833333.33333333</v>
      </c>
      <c r="E15" s="0" t="n">
        <f aca="false">C15/(60*10^(-9))</f>
        <v>0</v>
      </c>
    </row>
    <row r="16" customFormat="false" ht="15.75" hidden="false" customHeight="false" outlineLevel="0" collapsed="false">
      <c r="A16" s="1" t="s">
        <v>23</v>
      </c>
      <c r="B16" s="1" t="n">
        <v>0.015</v>
      </c>
      <c r="D16" s="1"/>
      <c r="E16" s="0" t="n">
        <f aca="false">C16/(60*10^(-9))</f>
        <v>0</v>
      </c>
    </row>
    <row r="17" customFormat="false" ht="15.75" hidden="false" customHeight="false" outlineLevel="0" collapsed="false">
      <c r="A17" s="1" t="s">
        <v>24</v>
      </c>
      <c r="B17" s="1" t="n">
        <v>0.00169</v>
      </c>
      <c r="D17" s="1" t="n">
        <f aca="false">B17/(60*10^(-12))</f>
        <v>28166666.6666667</v>
      </c>
      <c r="E17" s="0" t="n">
        <f aca="false">C17/(60*10^(-9))</f>
        <v>0</v>
      </c>
    </row>
    <row r="18" customFormat="false" ht="15.75" hidden="false" customHeight="false" outlineLevel="0" collapsed="false">
      <c r="A18" s="1" t="s">
        <v>25</v>
      </c>
      <c r="B18" s="1" t="n">
        <v>0.000163</v>
      </c>
      <c r="D18" s="1" t="n">
        <f aca="false">B18/(60*10^(-6))</f>
        <v>2.71666666666667</v>
      </c>
      <c r="E18" s="0" t="n">
        <f aca="false">C18/(60*10^(-9))</f>
        <v>0</v>
      </c>
    </row>
    <row r="19" customFormat="false" ht="15.75" hidden="false" customHeight="false" outlineLevel="0" collapsed="false">
      <c r="A19" s="1" t="s">
        <v>26</v>
      </c>
      <c r="B19" s="1" t="n">
        <v>3.3E-005</v>
      </c>
      <c r="D19" s="1" t="n">
        <f aca="false">B19/(60*10^(-6))</f>
        <v>0.55</v>
      </c>
      <c r="E19" s="0" t="n">
        <f aca="false">C19/(60*10^(-9))</f>
        <v>0</v>
      </c>
    </row>
    <row r="20" customFormat="false" ht="15.75" hidden="false" customHeight="false" outlineLevel="0" collapsed="false">
      <c r="A20" s="1" t="s">
        <v>27</v>
      </c>
      <c r="B20" s="1" t="n">
        <v>0.000166</v>
      </c>
      <c r="D20" s="1" t="n">
        <f aca="false">B20/(60*10^(-6))</f>
        <v>2.76666666666667</v>
      </c>
      <c r="E20" s="0" t="n">
        <f aca="false">C20/(60*10^(-9))</f>
        <v>0</v>
      </c>
    </row>
    <row r="21" customFormat="false" ht="15.75" hidden="false" customHeight="false" outlineLevel="0" collapsed="false">
      <c r="A21" s="1" t="s">
        <v>28</v>
      </c>
      <c r="B21" s="1" t="n">
        <v>0.000165</v>
      </c>
      <c r="C21" s="0" t="n">
        <v>0.0168</v>
      </c>
      <c r="D21" s="1" t="n">
        <f aca="false">B21/(60*10^(-6))</f>
        <v>2.75</v>
      </c>
      <c r="E21" s="0" t="n">
        <f aca="false">C21/(60*10^(-9))</f>
        <v>280000</v>
      </c>
    </row>
    <row r="22" customFormat="false" ht="15.75" hidden="false" customHeight="false" outlineLevel="0" collapsed="false">
      <c r="D22" s="1"/>
      <c r="E22" s="0" t="n">
        <f aca="false">C22/(60*10^(-9))</f>
        <v>0</v>
      </c>
    </row>
    <row r="23" customFormat="false" ht="15.75" hidden="false" customHeight="false" outlineLevel="0" collapsed="false">
      <c r="A23" s="1" t="s">
        <v>29</v>
      </c>
      <c r="B23" s="1" t="n">
        <v>0.000185</v>
      </c>
      <c r="E23" s="0" t="n">
        <f aca="false">C23/(60*10^(-9))</f>
        <v>0</v>
      </c>
    </row>
    <row r="24" customFormat="false" ht="15.75" hidden="false" customHeight="false" outlineLevel="0" collapsed="false">
      <c r="A24" s="1" t="s">
        <v>30</v>
      </c>
      <c r="B24" s="1" t="n">
        <v>3.5E-005</v>
      </c>
      <c r="E24" s="0" t="n">
        <f aca="false">C24/(60*10^(-9))</f>
        <v>0</v>
      </c>
    </row>
    <row r="25" customFormat="false" ht="15.75" hidden="false" customHeight="false" outlineLevel="0" collapsed="false">
      <c r="A25" s="1" t="s">
        <v>31</v>
      </c>
      <c r="B25" s="1" t="n">
        <v>0.082</v>
      </c>
      <c r="E25" s="0" t="n">
        <f aca="false">C25/(60*10^(-9))</f>
        <v>0</v>
      </c>
    </row>
    <row r="26" customFormat="false" ht="15.75" hidden="false" customHeight="false" outlineLevel="0" collapsed="false">
      <c r="A26" s="1" t="s">
        <v>32</v>
      </c>
      <c r="B26" s="1" t="n">
        <v>0.00168</v>
      </c>
      <c r="E26" s="0" t="n">
        <f aca="false">C26/(60*10^(-9))</f>
        <v>0</v>
      </c>
    </row>
    <row r="27" customFormat="false" ht="15.75" hidden="false" customHeight="false" outlineLevel="0" collapsed="false">
      <c r="A27" s="1" t="s">
        <v>33</v>
      </c>
      <c r="B27" s="1" t="n">
        <v>0.0166</v>
      </c>
      <c r="D27" s="0" t="n">
        <f aca="false">B27/(60*10^(-6))</f>
        <v>276.666666666667</v>
      </c>
      <c r="E27" s="0" t="n">
        <f aca="false">C27/(60*10^(-9))</f>
        <v>0</v>
      </c>
    </row>
    <row r="28" customFormat="false" ht="15.75" hidden="false" customHeight="false" outlineLevel="0" collapsed="false">
      <c r="A28" s="1" t="s">
        <v>34</v>
      </c>
      <c r="B28" s="1" t="n">
        <v>0.0167</v>
      </c>
      <c r="E28" s="0" t="n">
        <f aca="false">C28/(60*10^(-9))</f>
        <v>0</v>
      </c>
    </row>
    <row r="29" customFormat="false" ht="15.75" hidden="false" customHeight="false" outlineLevel="0" collapsed="false">
      <c r="A29" s="1" t="s">
        <v>35</v>
      </c>
      <c r="B29" s="1" t="n">
        <v>0.017</v>
      </c>
      <c r="E29" s="0" t="n">
        <f aca="false">C29/(60*10^(-9))</f>
        <v>0</v>
      </c>
    </row>
    <row r="30" customFormat="false" ht="15.75" hidden="false" customHeight="false" outlineLevel="0" collapsed="false">
      <c r="A30" s="1" t="s">
        <v>36</v>
      </c>
      <c r="B30" s="1" t="n">
        <v>0.017</v>
      </c>
      <c r="D30" s="0" t="n">
        <f aca="false">B30/(60*10^(-6))</f>
        <v>283.333333333333</v>
      </c>
      <c r="E30" s="0" t="n">
        <f aca="false">C30/(60*10^(-9))</f>
        <v>0</v>
      </c>
    </row>
    <row r="31" customFormat="false" ht="15.75" hidden="false" customHeight="false" outlineLevel="0" collapsed="false">
      <c r="A31" s="1" t="s">
        <v>37</v>
      </c>
      <c r="B31" s="1" t="n">
        <v>1.7E-006</v>
      </c>
      <c r="D31" s="0" t="n">
        <f aca="false">B31/(60*10^(-6))</f>
        <v>0.0283333333333333</v>
      </c>
      <c r="E31" s="0" t="n">
        <f aca="false">C31/(60*10^(-9))</f>
        <v>0</v>
      </c>
    </row>
    <row r="32" customFormat="false" ht="15.75" hidden="false" customHeight="false" outlineLevel="0" collapsed="false">
      <c r="A32" s="1" t="s">
        <v>38</v>
      </c>
      <c r="B32" s="1" t="n">
        <v>2E-006</v>
      </c>
      <c r="D32" s="0" t="n">
        <f aca="false">B32/(60*10^(-6))</f>
        <v>0.0333333333333333</v>
      </c>
      <c r="E32" s="0" t="n">
        <f aca="false">C32/(60*10^(-9))</f>
        <v>0</v>
      </c>
    </row>
    <row r="33" customFormat="false" ht="15.75" hidden="false" customHeight="false" outlineLevel="0" collapsed="false">
      <c r="A33" s="1" t="s">
        <v>39</v>
      </c>
      <c r="B33" s="1" t="n">
        <v>0.00016</v>
      </c>
      <c r="E33" s="0" t="n">
        <f aca="false">C33/(60*10^(-9))</f>
        <v>0</v>
      </c>
    </row>
    <row r="34" customFormat="false" ht="15.75" hidden="false" customHeight="false" outlineLevel="0" collapsed="false">
      <c r="A34" s="1" t="s">
        <v>40</v>
      </c>
      <c r="B34" s="1" t="n">
        <v>0.014</v>
      </c>
      <c r="D34" s="0" t="n">
        <f aca="false">B34/(60*10^(-6))</f>
        <v>233.333333333333</v>
      </c>
      <c r="E34" s="0" t="n">
        <f aca="false">C34/(60*10^(-9))</f>
        <v>0</v>
      </c>
    </row>
    <row r="35" customFormat="false" ht="15.75" hidden="false" customHeight="false" outlineLevel="0" collapsed="false">
      <c r="A35" s="1" t="s">
        <v>41</v>
      </c>
      <c r="B35" s="1" t="n">
        <v>0.00165</v>
      </c>
      <c r="E35" s="0" t="n">
        <f aca="false">C35/(60*10^(-9))</f>
        <v>0</v>
      </c>
    </row>
    <row r="36" customFormat="false" ht="15.75" hidden="false" customHeight="false" outlineLevel="0" collapsed="false">
      <c r="A36" s="1" t="s">
        <v>42</v>
      </c>
      <c r="B36" s="1" t="n">
        <v>0.00062</v>
      </c>
      <c r="D36" s="0" t="n">
        <f aca="false">B36/(60*10^(-6))</f>
        <v>10.3333333333333</v>
      </c>
      <c r="E36" s="0" t="n">
        <f aca="false">C36/(60*10^(-9))</f>
        <v>0</v>
      </c>
    </row>
    <row r="37" customFormat="false" ht="15.75" hidden="false" customHeight="false" outlineLevel="0" collapsed="false">
      <c r="A37" s="1" t="s">
        <v>43</v>
      </c>
      <c r="B37" s="1" t="n">
        <v>0.0178</v>
      </c>
      <c r="E37" s="0" t="n">
        <f aca="false">C37/(60*10^(-9))</f>
        <v>0</v>
      </c>
    </row>
    <row r="38" customFormat="false" ht="15.75" hidden="false" customHeight="false" outlineLevel="0" collapsed="false">
      <c r="A38" s="1" t="s">
        <v>44</v>
      </c>
      <c r="B38" s="1" t="n">
        <v>0.0152</v>
      </c>
      <c r="D38" s="0" t="n">
        <f aca="false">B38/(60*10^(-6))</f>
        <v>253.333333333333</v>
      </c>
      <c r="E38" s="0" t="n">
        <f aca="false">C38/(60*10^(-9))</f>
        <v>0</v>
      </c>
    </row>
    <row r="39" customFormat="false" ht="15.75" hidden="false" customHeight="false" outlineLevel="0" collapsed="false">
      <c r="A39" s="1" t="s">
        <v>45</v>
      </c>
      <c r="B39" s="1" t="n">
        <v>0.000193</v>
      </c>
      <c r="E39" s="0" t="n">
        <f aca="false">C39/(60*10^(-9))</f>
        <v>0</v>
      </c>
    </row>
    <row r="40" customFormat="false" ht="15.75" hidden="false" customHeight="false" outlineLevel="0" collapsed="false">
      <c r="A40" s="1" t="s">
        <v>46</v>
      </c>
      <c r="B40" s="1" t="n">
        <v>0.02</v>
      </c>
      <c r="D40" s="0" t="n">
        <f aca="false">B40/(60*10^(-6))</f>
        <v>333.333333333333</v>
      </c>
      <c r="E40" s="0" t="n">
        <f aca="false">C40/(60*10^(-9))</f>
        <v>0</v>
      </c>
    </row>
    <row r="41" customFormat="false" ht="15.75" hidden="false" customHeight="false" outlineLevel="0" collapsed="false">
      <c r="A41" s="1" t="s">
        <v>47</v>
      </c>
      <c r="B41" s="1" t="n">
        <v>0.0159</v>
      </c>
      <c r="D41" s="0" t="n">
        <f aca="false">B41/(60*10^(-6))</f>
        <v>265</v>
      </c>
      <c r="E41" s="0" t="n">
        <f aca="false">C41/(60*10^(-9))</f>
        <v>0</v>
      </c>
    </row>
    <row r="42" customFormat="false" ht="15.75" hidden="false" customHeight="false" outlineLevel="0" collapsed="false">
      <c r="A42" s="1" t="s">
        <v>48</v>
      </c>
      <c r="B42" s="1" t="n">
        <v>0.00062</v>
      </c>
      <c r="D42" s="0" t="n">
        <f aca="false">B42/(60*10^(-6))</f>
        <v>10.3333333333333</v>
      </c>
      <c r="E42" s="0" t="n">
        <f aca="false">C42/(60*10^(-9))</f>
        <v>0</v>
      </c>
    </row>
    <row r="43" customFormat="false" ht="15.75" hidden="false" customHeight="false" outlineLevel="0" collapsed="false">
      <c r="A43" s="1" t="s">
        <v>49</v>
      </c>
      <c r="B43" s="1" t="n">
        <v>0.00015</v>
      </c>
      <c r="D43" s="0" t="n">
        <f aca="false">B43/(60*10^(-6))</f>
        <v>2.5</v>
      </c>
      <c r="E43" s="0" t="n">
        <f aca="false">C43/(60*10^(-9))</f>
        <v>0</v>
      </c>
    </row>
    <row r="44" customFormat="false" ht="15.75" hidden="false" customHeight="false" outlineLevel="0" collapsed="false">
      <c r="A44" s="1" t="s">
        <v>50</v>
      </c>
      <c r="B44" s="1" t="n">
        <v>0.000169</v>
      </c>
      <c r="C44" s="0" t="n">
        <v>0.0154</v>
      </c>
      <c r="D44" s="0" t="n">
        <f aca="false">B44/(60*10^(-6))</f>
        <v>2.81666666666667</v>
      </c>
      <c r="E44" s="0" t="n">
        <f aca="false">C44/(60*10^(-9))</f>
        <v>256666.666666667</v>
      </c>
    </row>
    <row r="45" customFormat="false" ht="15.75" hidden="false" customHeight="false" outlineLevel="0" collapsed="false">
      <c r="E45" s="0" t="n">
        <f aca="false">C45/(60*10^(-9))</f>
        <v>0</v>
      </c>
    </row>
    <row r="46" customFormat="false" ht="15.75" hidden="false" customHeight="false" outlineLevel="0" collapsed="false">
      <c r="A46" s="1" t="s">
        <v>51</v>
      </c>
      <c r="B46" s="1" t="n">
        <v>0.017</v>
      </c>
    </row>
    <row r="47" customFormat="false" ht="15.75" hidden="false" customHeight="false" outlineLevel="0" collapsed="false">
      <c r="A47" s="1" t="s">
        <v>52</v>
      </c>
      <c r="B47" s="1" t="n">
        <v>0.017</v>
      </c>
      <c r="E47" s="0" t="n">
        <f aca="false">C50/(60*10^(-9))</f>
        <v>0</v>
      </c>
    </row>
    <row r="48" customFormat="false" ht="15.75" hidden="false" customHeight="false" outlineLevel="0" collapsed="false">
      <c r="A48" s="1" t="s">
        <v>53</v>
      </c>
      <c r="B48" s="1" t="n">
        <v>0.017</v>
      </c>
      <c r="E48" s="0" t="n">
        <f aca="false">C51/(60*10^(-9))</f>
        <v>0</v>
      </c>
    </row>
    <row r="49" customFormat="false" ht="15.75" hidden="false" customHeight="false" outlineLevel="0" collapsed="false">
      <c r="A49" s="1" t="s">
        <v>54</v>
      </c>
      <c r="B49" s="1" t="n">
        <v>0.017</v>
      </c>
      <c r="E49" s="0" t="n">
        <f aca="false">C52/(60*10^(-9))</f>
        <v>0</v>
      </c>
    </row>
    <row r="50" customFormat="false" ht="15.75" hidden="false" customHeight="false" outlineLevel="0" collapsed="false">
      <c r="A50" s="1" t="s">
        <v>55</v>
      </c>
      <c r="B50" s="1" t="n">
        <v>0.00014</v>
      </c>
      <c r="D50" s="0" t="n">
        <f aca="false">B50/(60*10^(-6))</f>
        <v>2.33333333333333</v>
      </c>
      <c r="E50" s="0" t="n">
        <f aca="false">C54/(60*10^(-9))</f>
        <v>253333.333333333</v>
      </c>
    </row>
    <row r="51" customFormat="false" ht="15.75" hidden="false" customHeight="false" outlineLevel="0" collapsed="false">
      <c r="A51" s="1" t="s">
        <v>56</v>
      </c>
      <c r="B51" s="1" t="n">
        <v>1.67E-005</v>
      </c>
      <c r="D51" s="0" t="n">
        <f aca="false">B51/(60*10^(-6))</f>
        <v>0.278333333333333</v>
      </c>
      <c r="E51" s="0" t="n">
        <f aca="false">C55/(60*10^(-9))</f>
        <v>0</v>
      </c>
    </row>
    <row r="52" customFormat="false" ht="15.75" hidden="false" customHeight="false" outlineLevel="0" collapsed="false">
      <c r="A52" s="1" t="s">
        <v>57</v>
      </c>
      <c r="B52" s="1" t="n">
        <v>0.0166</v>
      </c>
      <c r="E52" s="0" t="n">
        <f aca="false">C56/(60*10^(-9))</f>
        <v>256666.666666667</v>
      </c>
    </row>
    <row r="53" customFormat="false" ht="15.75" hidden="false" customHeight="false" outlineLevel="0" collapsed="false">
      <c r="A53" s="1" t="s">
        <v>58</v>
      </c>
      <c r="B53" s="1" t="n">
        <v>0.000165</v>
      </c>
      <c r="E53" s="0" t="n">
        <f aca="false">C57/(60*10^(-9))</f>
        <v>0</v>
      </c>
    </row>
    <row r="54" customFormat="false" ht="15.75" hidden="false" customHeight="false" outlineLevel="0" collapsed="false">
      <c r="A54" s="1" t="s">
        <v>59</v>
      </c>
      <c r="B54" s="1" t="n">
        <v>0.000177</v>
      </c>
      <c r="C54" s="0" t="n">
        <v>0.0152</v>
      </c>
      <c r="E54" s="0" t="n">
        <f aca="false">C58/(60*10^(-9))</f>
        <v>0</v>
      </c>
    </row>
    <row r="55" customFormat="false" ht="15.75" hidden="false" customHeight="false" outlineLevel="0" collapsed="false">
      <c r="E55" s="0" t="n">
        <f aca="false">C59/(60*10^(-9))</f>
        <v>0</v>
      </c>
    </row>
    <row r="56" customFormat="false" ht="15.75" hidden="false" customHeight="false" outlineLevel="0" collapsed="false">
      <c r="A56" s="1" t="s">
        <v>60</v>
      </c>
      <c r="B56" s="1" t="n">
        <v>0.00017</v>
      </c>
      <c r="C56" s="0" t="n">
        <v>0.0154</v>
      </c>
      <c r="E56" s="0" t="n">
        <f aca="false">C60/(60*10^(-9))</f>
        <v>0</v>
      </c>
    </row>
    <row r="57" customFormat="false" ht="15.75" hidden="false" customHeight="false" outlineLevel="0" collapsed="false">
      <c r="E57" s="0" t="n">
        <f aca="false">C61/(60*10^(-9))</f>
        <v>0</v>
      </c>
    </row>
    <row r="58" customFormat="false" ht="15.75" hidden="false" customHeight="false" outlineLevel="0" collapsed="false">
      <c r="A58" s="1" t="s">
        <v>61</v>
      </c>
      <c r="B58" s="1" t="n">
        <v>0.015</v>
      </c>
      <c r="E58" s="0" t="n">
        <f aca="false">C62/(60*10^(-9))</f>
        <v>0</v>
      </c>
    </row>
    <row r="59" customFormat="false" ht="15.75" hidden="false" customHeight="false" outlineLevel="0" collapsed="false">
      <c r="A59" s="1" t="s">
        <v>62</v>
      </c>
      <c r="B59" s="1" t="n">
        <v>0.000188</v>
      </c>
      <c r="D59" s="0" t="n">
        <f aca="false">B59/(60*10^(-6))</f>
        <v>3.13333333333333</v>
      </c>
      <c r="E59" s="0" t="n">
        <f aca="false">C63/(60*10^(-9))</f>
        <v>78.3333333333333</v>
      </c>
    </row>
    <row r="60" customFormat="false" ht="15.75" hidden="false" customHeight="false" outlineLevel="0" collapsed="false">
      <c r="A60" s="1" t="s">
        <v>63</v>
      </c>
      <c r="B60" s="1" t="n">
        <v>0.016</v>
      </c>
      <c r="E60" s="0" t="n">
        <f aca="false">C64/(60*10^(-9))</f>
        <v>0</v>
      </c>
    </row>
    <row r="61" customFormat="false" ht="15.75" hidden="false" customHeight="false" outlineLevel="0" collapsed="false">
      <c r="A61" s="1" t="s">
        <v>64</v>
      </c>
      <c r="B61" s="1" t="n">
        <v>0.000193</v>
      </c>
      <c r="D61" s="0" t="n">
        <f aca="false">B61/(60*10^(-6))</f>
        <v>3.21666666666667</v>
      </c>
      <c r="E61" s="0" t="n">
        <f aca="false">C65/(60*10^(-9))</f>
        <v>0</v>
      </c>
    </row>
    <row r="62" customFormat="false" ht="15.75" hidden="false" customHeight="false" outlineLevel="0" collapsed="false">
      <c r="A62" s="1" t="s">
        <v>65</v>
      </c>
      <c r="B62" s="1" t="n">
        <v>0.0002</v>
      </c>
      <c r="D62" s="0" t="n">
        <f aca="false">B62/(60*10^(-6))</f>
        <v>3.33333333333333</v>
      </c>
      <c r="E62" s="0" t="n">
        <f aca="false">C66/(60*10^(-9))</f>
        <v>0</v>
      </c>
    </row>
    <row r="63" customFormat="false" ht="15.75" hidden="false" customHeight="false" outlineLevel="0" collapsed="false">
      <c r="A63" s="1" t="s">
        <v>66</v>
      </c>
      <c r="B63" s="1" t="n">
        <v>0.00019</v>
      </c>
      <c r="C63" s="0" t="n">
        <v>4.7E-006</v>
      </c>
      <c r="D63" s="0" t="n">
        <f aca="false">B63/(60*10^(-6))</f>
        <v>3.16666666666667</v>
      </c>
      <c r="E63" s="0" t="n">
        <f aca="false">C67/(60*10^(-9))</f>
        <v>253333.333333333</v>
      </c>
    </row>
    <row r="64" customFormat="false" ht="15.75" hidden="false" customHeight="false" outlineLevel="0" collapsed="false">
      <c r="E64" s="0" t="n">
        <f aca="false">C68/(60*10^(-9))</f>
        <v>0</v>
      </c>
    </row>
    <row r="65" customFormat="false" ht="15.75" hidden="false" customHeight="false" outlineLevel="0" collapsed="false">
      <c r="A65" s="1" t="s">
        <v>67</v>
      </c>
      <c r="B65" s="1" t="n">
        <v>0.000168</v>
      </c>
      <c r="D65" s="0" t="n">
        <f aca="false">B65/(60*10^(-6))</f>
        <v>2.8</v>
      </c>
      <c r="E65" s="0" t="n">
        <f aca="false">C69/(60*10^(-9))</f>
        <v>0</v>
      </c>
    </row>
    <row r="66" customFormat="false" ht="15.75" hidden="false" customHeight="false" outlineLevel="0" collapsed="false">
      <c r="A66" s="1" t="s">
        <v>68</v>
      </c>
      <c r="B66" s="1" t="n">
        <v>5.6E-005</v>
      </c>
      <c r="D66" s="0" t="n">
        <f aca="false">B66/(60*10^(-6))</f>
        <v>0.933333333333333</v>
      </c>
      <c r="E66" s="0" t="n">
        <f aca="false">C70/(60*10^(-9))</f>
        <v>0</v>
      </c>
    </row>
    <row r="67" customFormat="false" ht="15.75" hidden="false" customHeight="false" outlineLevel="0" collapsed="false">
      <c r="A67" s="1" t="s">
        <v>69</v>
      </c>
      <c r="B67" s="1" t="n">
        <v>0.00014</v>
      </c>
      <c r="C67" s="0" t="n">
        <v>0.0152</v>
      </c>
      <c r="D67" s="0" t="n">
        <f aca="false">B67/(60*10^(-6))</f>
        <v>2.33333333333333</v>
      </c>
      <c r="E67" s="0" t="n">
        <f aca="false">C71/(60*10^(-9))</f>
        <v>0</v>
      </c>
    </row>
    <row r="68" customFormat="false" ht="15.75" hidden="false" customHeight="false" outlineLevel="0" collapsed="false">
      <c r="E68" s="0" t="n">
        <f aca="false">C72/(60*10^(-9))</f>
        <v>0</v>
      </c>
    </row>
    <row r="69" customFormat="false" ht="15.75" hidden="false" customHeight="false" outlineLevel="0" collapsed="false">
      <c r="A69" s="1" t="s">
        <v>70</v>
      </c>
      <c r="B69" s="1" t="n">
        <v>0.02</v>
      </c>
      <c r="E69" s="0" t="n">
        <f aca="false">C73/(60*10^(-9))</f>
        <v>0</v>
      </c>
    </row>
    <row r="70" customFormat="false" ht="15.75" hidden="false" customHeight="false" outlineLevel="0" collapsed="false">
      <c r="A70" s="1" t="s">
        <v>71</v>
      </c>
      <c r="B70" s="1" t="n">
        <v>0.0833</v>
      </c>
      <c r="E70" s="0" t="n">
        <f aca="false">C74/(60*10^(-9))</f>
        <v>325000</v>
      </c>
    </row>
    <row r="71" customFormat="false" ht="15.75" hidden="false" customHeight="false" outlineLevel="0" collapsed="false">
      <c r="A71" s="1" t="s">
        <v>72</v>
      </c>
      <c r="B71" s="1" t="n">
        <v>0.00021</v>
      </c>
      <c r="D71" s="0" t="n">
        <f aca="false">B71/(60*10^(-6))</f>
        <v>3.5</v>
      </c>
      <c r="E71" s="0" t="n">
        <f aca="false">C75/(60*10^(-9))</f>
        <v>0</v>
      </c>
    </row>
    <row r="72" customFormat="false" ht="15.75" hidden="false" customHeight="false" outlineLevel="0" collapsed="false">
      <c r="A72" s="1" t="s">
        <v>73</v>
      </c>
      <c r="B72" s="1" t="n">
        <v>0.0188</v>
      </c>
      <c r="D72" s="0" t="n">
        <f aca="false">B72/(60*10^(-6))</f>
        <v>313.333333333333</v>
      </c>
      <c r="E72" s="0" t="n">
        <f aca="false">C76/(60*10^(-9))</f>
        <v>0</v>
      </c>
    </row>
    <row r="73" customFormat="false" ht="15.75" hidden="false" customHeight="false" outlineLevel="0" collapsed="false">
      <c r="A73" s="1" t="s">
        <v>74</v>
      </c>
      <c r="B73" s="1" t="n">
        <v>0.0166</v>
      </c>
      <c r="E73" s="0" t="n">
        <f aca="false">C77/(60*10^(-9))</f>
        <v>0</v>
      </c>
    </row>
    <row r="74" customFormat="false" ht="15.75" hidden="false" customHeight="false" outlineLevel="0" collapsed="false">
      <c r="A74" s="1" t="s">
        <v>75</v>
      </c>
      <c r="B74" s="1" t="n">
        <v>0.002</v>
      </c>
      <c r="C74" s="0" t="n">
        <v>0.0195</v>
      </c>
      <c r="D74" s="0" t="n">
        <f aca="false">B74/(60*10^(-6))</f>
        <v>33.3333333333333</v>
      </c>
      <c r="E74" s="0" t="n">
        <f aca="false">C78/(60*10^(-9))</f>
        <v>316666.666666667</v>
      </c>
    </row>
    <row r="75" customFormat="false" ht="15.75" hidden="false" customHeight="false" outlineLevel="0" collapsed="false">
      <c r="E75" s="0" t="n">
        <f aca="false">C79/(60*10^(-9))</f>
        <v>0</v>
      </c>
    </row>
    <row r="76" customFormat="false" ht="15.75" hidden="false" customHeight="false" outlineLevel="0" collapsed="false">
      <c r="A76" s="1" t="s">
        <v>76</v>
      </c>
      <c r="B76" s="1" t="n">
        <v>0.021</v>
      </c>
      <c r="E76" s="0" t="n">
        <f aca="false">C80/(60*10^(-9))</f>
        <v>0</v>
      </c>
    </row>
    <row r="77" customFormat="false" ht="15.75" hidden="false" customHeight="false" outlineLevel="0" collapsed="false">
      <c r="A77" s="1" t="s">
        <v>77</v>
      </c>
      <c r="B77" s="1" t="n">
        <v>3E-005</v>
      </c>
      <c r="D77" s="0" t="n">
        <f aca="false">B77/(60*10^(-6))</f>
        <v>0.5</v>
      </c>
      <c r="E77" s="0" t="n">
        <f aca="false">C81/(60*10^(-9))</f>
        <v>0</v>
      </c>
    </row>
    <row r="78" customFormat="false" ht="15.75" hidden="false" customHeight="false" outlineLevel="0" collapsed="false">
      <c r="A78" s="1" t="s">
        <v>78</v>
      </c>
      <c r="B78" s="1" t="n">
        <v>0.00021</v>
      </c>
      <c r="C78" s="0" t="n">
        <v>0.019</v>
      </c>
      <c r="D78" s="0" t="n">
        <f aca="false">B78/(60*10^(-6))</f>
        <v>3.5</v>
      </c>
      <c r="E78" s="0" t="n">
        <f aca="false">C82/(60*10^(-9))</f>
        <v>0</v>
      </c>
    </row>
    <row r="79" customFormat="false" ht="15.75" hidden="false" customHeight="false" outlineLevel="0" collapsed="false">
      <c r="E79" s="0" t="n">
        <f aca="false">C83/(60*10^(-9))</f>
        <v>25666.6666666667</v>
      </c>
    </row>
    <row r="80" customFormat="false" ht="15.75" hidden="false" customHeight="false" outlineLevel="0" collapsed="false">
      <c r="A80" s="1" t="s">
        <v>79</v>
      </c>
      <c r="B80" s="1" t="n">
        <v>0.0001667</v>
      </c>
      <c r="D80" s="0" t="n">
        <f aca="false">B80/(60*10^(-6))</f>
        <v>2.77833333333333</v>
      </c>
      <c r="E80" s="0" t="n">
        <f aca="false">C84/(60*10^(-9))</f>
        <v>0</v>
      </c>
    </row>
    <row r="81" customFormat="false" ht="15.75" hidden="false" customHeight="false" outlineLevel="0" collapsed="false">
      <c r="A81" s="1" t="s">
        <v>80</v>
      </c>
      <c r="B81" s="1" t="n">
        <v>0.084</v>
      </c>
      <c r="E81" s="0" t="n">
        <f aca="false">C85/(60*10^(-9))</f>
        <v>0</v>
      </c>
    </row>
    <row r="82" customFormat="false" ht="15.75" hidden="false" customHeight="false" outlineLevel="0" collapsed="false">
      <c r="A82" s="1" t="s">
        <v>81</v>
      </c>
      <c r="B82" s="1" t="n">
        <v>0.017</v>
      </c>
      <c r="E82" s="0" t="n">
        <f aca="false">C86/(60*10^(-9))</f>
        <v>0</v>
      </c>
    </row>
    <row r="83" customFormat="false" ht="15.75" hidden="false" customHeight="false" outlineLevel="0" collapsed="false">
      <c r="A83" s="1" t="s">
        <v>82</v>
      </c>
      <c r="B83" s="1" t="n">
        <v>0.000156</v>
      </c>
      <c r="C83" s="0" t="n">
        <v>0.00154</v>
      </c>
      <c r="D83" s="0" t="n">
        <f aca="false">B83/(60*10^(-6))</f>
        <v>2.6</v>
      </c>
      <c r="E83" s="0" t="n">
        <f aca="false">C87/(60*10^(-9))</f>
        <v>0</v>
      </c>
    </row>
    <row r="84" customFormat="false" ht="15.75" hidden="false" customHeight="false" outlineLevel="0" collapsed="false">
      <c r="E84" s="0" t="n">
        <f aca="false">C88/(60*10^(-9))</f>
        <v>0</v>
      </c>
    </row>
    <row r="85" customFormat="false" ht="15.75" hidden="false" customHeight="false" outlineLevel="0" collapsed="false">
      <c r="A85" s="1" t="s">
        <v>83</v>
      </c>
      <c r="B85" s="1" t="n">
        <v>0.000167</v>
      </c>
      <c r="D85" s="0" t="n">
        <f aca="false">B85/(60*10^(-6))</f>
        <v>2.78333333333333</v>
      </c>
      <c r="E85" s="0" t="n">
        <f aca="false">C89/(60*10^(-9))</f>
        <v>0</v>
      </c>
    </row>
    <row r="86" customFormat="false" ht="15.75" hidden="false" customHeight="false" outlineLevel="0" collapsed="false">
      <c r="A86" s="1" t="s">
        <v>84</v>
      </c>
      <c r="B86" s="1" t="n">
        <v>0.000165</v>
      </c>
      <c r="D86" s="0" t="n">
        <f aca="false">B86/(60*10^(-6))</f>
        <v>2.75</v>
      </c>
      <c r="E86" s="0" t="n">
        <f aca="false">C90/(60*10^(-9))</f>
        <v>0</v>
      </c>
    </row>
    <row r="87" customFormat="false" ht="15.75" hidden="false" customHeight="false" outlineLevel="0" collapsed="false">
      <c r="A87" s="1" t="s">
        <v>85</v>
      </c>
      <c r="B87" s="1" t="n">
        <v>0.0153</v>
      </c>
      <c r="E87" s="0" t="n">
        <f aca="false">C91/(60*10^(-9))</f>
        <v>0</v>
      </c>
    </row>
    <row r="88" customFormat="false" ht="15.75" hidden="false" customHeight="false" outlineLevel="0" collapsed="false">
      <c r="A88" s="1" t="s">
        <v>86</v>
      </c>
      <c r="B88" s="1" t="n">
        <v>0.000155</v>
      </c>
      <c r="E88" s="0" t="n">
        <f aca="false">C92/(60*10^(-9))</f>
        <v>300000</v>
      </c>
    </row>
    <row r="89" customFormat="false" ht="15.75" hidden="false" customHeight="false" outlineLevel="0" collapsed="false">
      <c r="A89" s="1" t="s">
        <v>87</v>
      </c>
      <c r="B89" s="1" t="n">
        <v>7E-005</v>
      </c>
      <c r="D89" s="0" t="n">
        <f aca="false">B89/(60*10^(-6))</f>
        <v>1.16666666666667</v>
      </c>
      <c r="E89" s="0" t="n">
        <f aca="false">C93/(60*10^(-9))</f>
        <v>0</v>
      </c>
    </row>
    <row r="90" customFormat="false" ht="15.75" hidden="false" customHeight="false" outlineLevel="0" collapsed="false">
      <c r="A90" s="1" t="s">
        <v>88</v>
      </c>
      <c r="B90" s="1" t="n">
        <v>0.015</v>
      </c>
      <c r="E90" s="0" t="n">
        <f aca="false">C94/(60*10^(-9))</f>
        <v>0</v>
      </c>
    </row>
    <row r="91" customFormat="false" ht="15.75" hidden="false" customHeight="false" outlineLevel="0" collapsed="false">
      <c r="A91" s="1" t="s">
        <v>89</v>
      </c>
      <c r="B91" s="1" t="n">
        <v>0.014</v>
      </c>
      <c r="E91" s="0" t="n">
        <f aca="false">C95/(60*10^(-9))</f>
        <v>0</v>
      </c>
    </row>
    <row r="92" customFormat="false" ht="15.75" hidden="false" customHeight="false" outlineLevel="0" collapsed="false">
      <c r="A92" s="1" t="s">
        <v>90</v>
      </c>
      <c r="B92" s="1" t="n">
        <v>0.016</v>
      </c>
      <c r="C92" s="0" t="n">
        <v>0.018</v>
      </c>
      <c r="E92" s="0" t="n">
        <f aca="false">C96/(60*10^(-9))</f>
        <v>0</v>
      </c>
    </row>
    <row r="93" customFormat="false" ht="15.75" hidden="false" customHeight="false" outlineLevel="0" collapsed="false">
      <c r="E93" s="0" t="n">
        <f aca="false">C97/(60*10^(-9))</f>
        <v>166.666666666667</v>
      </c>
    </row>
    <row r="94" customFormat="false" ht="15.75" hidden="false" customHeight="false" outlineLevel="0" collapsed="false">
      <c r="A94" s="1" t="s">
        <v>91</v>
      </c>
      <c r="B94" s="1" t="n">
        <v>0.0142</v>
      </c>
      <c r="E94" s="0" t="n">
        <f aca="false">C98/(60*10^(-9))</f>
        <v>0</v>
      </c>
    </row>
    <row r="95" customFormat="false" ht="15.75" hidden="false" customHeight="false" outlineLevel="0" collapsed="false">
      <c r="A95" s="1" t="s">
        <v>92</v>
      </c>
      <c r="B95" s="1" t="n">
        <v>0.000158</v>
      </c>
      <c r="D95" s="0" t="n">
        <f aca="false">B95/(60*10^(-6))</f>
        <v>2.63333333333333</v>
      </c>
      <c r="E95" s="0" t="n">
        <f aca="false">C99/(60*10^(-9))</f>
        <v>0</v>
      </c>
    </row>
    <row r="96" customFormat="false" ht="15.75" hidden="false" customHeight="false" outlineLevel="0" collapsed="false">
      <c r="A96" s="1" t="s">
        <v>93</v>
      </c>
      <c r="B96" s="1" t="n">
        <v>0.0164</v>
      </c>
      <c r="E96" s="0" t="n">
        <f aca="false">C100/(60*10^(-9))</f>
        <v>0</v>
      </c>
    </row>
    <row r="97" customFormat="false" ht="15.75" hidden="false" customHeight="false" outlineLevel="0" collapsed="false">
      <c r="A97" s="1" t="s">
        <v>94</v>
      </c>
      <c r="B97" s="1" t="n">
        <v>0.000162</v>
      </c>
      <c r="C97" s="0" t="n">
        <v>1E-005</v>
      </c>
      <c r="D97" s="0" t="n">
        <f aca="false">B97/(60*10^(-6))</f>
        <v>2.7</v>
      </c>
      <c r="E97" s="0" t="n">
        <f aca="false">C101/(60*10^(-9))</f>
        <v>0</v>
      </c>
    </row>
    <row r="98" customFormat="false" ht="15.75" hidden="false" customHeight="false" outlineLevel="0" collapsed="false">
      <c r="E98" s="0" t="n">
        <f aca="false">C102/(60*10^(-9))</f>
        <v>0</v>
      </c>
    </row>
    <row r="99" customFormat="false" ht="15.75" hidden="false" customHeight="false" outlineLevel="0" collapsed="false">
      <c r="A99" s="1" t="s">
        <v>95</v>
      </c>
      <c r="B99" s="1" t="n">
        <v>0.018</v>
      </c>
      <c r="E99" s="0" t="n">
        <f aca="false">C103/(60*10^(-9))</f>
        <v>0</v>
      </c>
    </row>
    <row r="100" customFormat="false" ht="15.75" hidden="false" customHeight="false" outlineLevel="0" collapsed="false">
      <c r="A100" s="1" t="s">
        <v>96</v>
      </c>
      <c r="B100" s="1" t="n">
        <v>0.018</v>
      </c>
      <c r="E100" s="0" t="n">
        <f aca="false">C104/(60*10^(-9))</f>
        <v>0</v>
      </c>
    </row>
    <row r="101" customFormat="false" ht="15.75" hidden="false" customHeight="false" outlineLevel="0" collapsed="false">
      <c r="A101" s="1" t="s">
        <v>97</v>
      </c>
      <c r="B101" s="1" t="n">
        <v>0.0162</v>
      </c>
      <c r="E101" s="0" t="n">
        <f aca="false">C105/(60*10^(-9))</f>
        <v>833333.333333333</v>
      </c>
    </row>
    <row r="102" customFormat="false" ht="15.75" hidden="false" customHeight="false" outlineLevel="0" collapsed="false">
      <c r="A102" s="1" t="s">
        <v>98</v>
      </c>
      <c r="B102" s="1" t="n">
        <v>0.000166</v>
      </c>
      <c r="D102" s="0" t="n">
        <f aca="false">B102/(60*10^(-6))</f>
        <v>2.76666666666667</v>
      </c>
      <c r="E102" s="0" t="n">
        <f aca="false">C106/(60*10^(-9))</f>
        <v>0</v>
      </c>
    </row>
    <row r="103" customFormat="false" ht="15.75" hidden="false" customHeight="false" outlineLevel="0" collapsed="false">
      <c r="A103" s="1" t="s">
        <v>99</v>
      </c>
      <c r="B103" s="1" t="n">
        <v>0.000157</v>
      </c>
      <c r="D103" s="0" t="n">
        <f aca="false">B103/(60*10^(-6))</f>
        <v>2.61666666666667</v>
      </c>
      <c r="E103" s="0" t="n">
        <f aca="false">C107/(60*10^(-9))</f>
        <v>0</v>
      </c>
    </row>
    <row r="104" customFormat="false" ht="15.75" hidden="false" customHeight="false" outlineLevel="0" collapsed="false">
      <c r="A104" s="1" t="s">
        <v>100</v>
      </c>
      <c r="B104" s="1" t="n">
        <v>0.0085</v>
      </c>
      <c r="E104" s="0" t="n">
        <f aca="false">C108/(60*10^(-9))</f>
        <v>0</v>
      </c>
    </row>
    <row r="105" customFormat="false" ht="15.75" hidden="false" customHeight="false" outlineLevel="0" collapsed="false">
      <c r="A105" s="1" t="s">
        <v>101</v>
      </c>
      <c r="B105" s="1" t="n">
        <v>0.001</v>
      </c>
      <c r="C105" s="0" t="n">
        <v>0.05</v>
      </c>
      <c r="D105" s="0" t="n">
        <f aca="false">B105/(60*10^(-6))</f>
        <v>16.6666666666667</v>
      </c>
      <c r="E105" s="0" t="n">
        <f aca="false">C109/(60*10^(-9))</f>
        <v>0</v>
      </c>
    </row>
    <row r="106" customFormat="false" ht="15.75" hidden="false" customHeight="false" outlineLevel="0" collapsed="false">
      <c r="E106" s="0" t="n">
        <f aca="false">C110/(60*10^(-9))</f>
        <v>0</v>
      </c>
    </row>
    <row r="107" customFormat="false" ht="15.75" hidden="false" customHeight="false" outlineLevel="0" collapsed="false">
      <c r="A107" s="1" t="s">
        <v>102</v>
      </c>
      <c r="B107" s="1" t="n">
        <v>0.0072</v>
      </c>
      <c r="E107" s="0" t="n">
        <f aca="false">C111/(60*10^(-9))</f>
        <v>0</v>
      </c>
    </row>
    <row r="108" customFormat="false" ht="15.75" hidden="false" customHeight="false" outlineLevel="0" collapsed="false">
      <c r="A108" s="1" t="s">
        <v>103</v>
      </c>
      <c r="B108" s="1" t="n">
        <v>0.0165</v>
      </c>
      <c r="E108" s="0" t="n">
        <f aca="false">C112/(60*10^(-9))</f>
        <v>0</v>
      </c>
    </row>
    <row r="109" customFormat="false" ht="15.75" hidden="false" customHeight="false" outlineLevel="0" collapsed="false">
      <c r="A109" s="1" t="s">
        <v>104</v>
      </c>
      <c r="B109" s="1" t="n">
        <v>0.0166</v>
      </c>
      <c r="E109" s="0" t="n">
        <f aca="false">C113/(60*10^(-9))</f>
        <v>0</v>
      </c>
    </row>
    <row r="110" customFormat="false" ht="15.75" hidden="false" customHeight="false" outlineLevel="0" collapsed="false">
      <c r="A110" s="1" t="s">
        <v>105</v>
      </c>
      <c r="B110" s="1" t="n">
        <v>0.00017</v>
      </c>
      <c r="D110" s="0" t="n">
        <f aca="false">B110/(60*10^(-6))</f>
        <v>2.83333333333333</v>
      </c>
      <c r="E110" s="0" t="n">
        <f aca="false">C114/(60*10^(-9))</f>
        <v>0</v>
      </c>
    </row>
    <row r="111" customFormat="false" ht="15.75" hidden="false" customHeight="false" outlineLevel="0" collapsed="false">
      <c r="A111" s="1" t="s">
        <v>106</v>
      </c>
      <c r="B111" s="1" t="n">
        <v>1.6E-006</v>
      </c>
      <c r="D111" s="0" t="n">
        <f aca="false">B111/(60*10^(-6))</f>
        <v>0.0266666666666667</v>
      </c>
      <c r="E111" s="0" t="n">
        <f aca="false">C115/(60*10^(-9))</f>
        <v>0</v>
      </c>
    </row>
    <row r="112" customFormat="false" ht="15.75" hidden="false" customHeight="false" outlineLevel="0" collapsed="false">
      <c r="A112" s="1" t="s">
        <v>107</v>
      </c>
      <c r="B112" s="1" t="n">
        <v>0.00017</v>
      </c>
      <c r="E112" s="0" t="n">
        <f aca="false">C116/(60*10^(-9))</f>
        <v>0</v>
      </c>
    </row>
    <row r="113" customFormat="false" ht="15.75" hidden="false" customHeight="false" outlineLevel="0" collapsed="false">
      <c r="A113" s="1" t="s">
        <v>108</v>
      </c>
      <c r="B113" s="1" t="n">
        <v>0.024</v>
      </c>
      <c r="D113" s="0" t="n">
        <f aca="false">B113/(60*10^(-6))</f>
        <v>400</v>
      </c>
      <c r="E113" s="0" t="n">
        <f aca="false">C117/(60*10^(-9))</f>
        <v>0</v>
      </c>
    </row>
    <row r="114" customFormat="false" ht="15.75" hidden="false" customHeight="false" outlineLevel="0" collapsed="false">
      <c r="A114" s="1" t="s">
        <v>109</v>
      </c>
      <c r="B114" s="1" t="n">
        <v>0.022</v>
      </c>
      <c r="E114" s="0" t="n">
        <f aca="false">C118/(60*10^(-9))</f>
        <v>0</v>
      </c>
    </row>
    <row r="115" customFormat="false" ht="15.75" hidden="false" customHeight="false" outlineLevel="0" collapsed="false">
      <c r="A115" s="1" t="s">
        <v>110</v>
      </c>
      <c r="B115" s="1" t="n">
        <v>0.0189</v>
      </c>
      <c r="D115" s="0" t="n">
        <f aca="false">B115/(60*10^(-6))</f>
        <v>315</v>
      </c>
      <c r="E115" s="0" t="n">
        <f aca="false">C119/(60*10^(-9))</f>
        <v>0</v>
      </c>
    </row>
    <row r="116" customFormat="false" ht="15.75" hidden="false" customHeight="false" outlineLevel="0" collapsed="false">
      <c r="A116" s="1" t="s">
        <v>111</v>
      </c>
      <c r="B116" s="1" t="n">
        <v>0.0176</v>
      </c>
      <c r="E116" s="0" t="n">
        <f aca="false">C120/(60*10^(-9))</f>
        <v>0</v>
      </c>
    </row>
    <row r="117" customFormat="false" ht="15.75" hidden="false" customHeight="false" outlineLevel="0" collapsed="false">
      <c r="A117" s="1" t="s">
        <v>112</v>
      </c>
      <c r="B117" s="1" t="n">
        <v>0.0155</v>
      </c>
      <c r="D117" s="0" t="n">
        <f aca="false">B117/(60*10^(-6))</f>
        <v>258.333333333333</v>
      </c>
      <c r="E117" s="0" t="n">
        <f aca="false">C121/(60*10^(-9))</f>
        <v>0</v>
      </c>
    </row>
    <row r="118" customFormat="false" ht="15.75" hidden="false" customHeight="false" outlineLevel="0" collapsed="false">
      <c r="A118" s="1" t="s">
        <v>113</v>
      </c>
      <c r="B118" s="1" t="n">
        <v>0.000161</v>
      </c>
      <c r="D118" s="0" t="n">
        <f aca="false">B118/(60*10^(-6))</f>
        <v>2.68333333333333</v>
      </c>
      <c r="E118" s="0" t="n">
        <f aca="false">C122/(60*10^(-9))</f>
        <v>0</v>
      </c>
    </row>
    <row r="119" customFormat="false" ht="15.75" hidden="false" customHeight="false" outlineLevel="0" collapsed="false">
      <c r="A119" s="1" t="s">
        <v>114</v>
      </c>
      <c r="B119" s="1" t="n">
        <v>0.000172</v>
      </c>
      <c r="D119" s="0" t="n">
        <f aca="false">B119/(60*10^(-6))</f>
        <v>2.86666666666667</v>
      </c>
      <c r="E119" s="0" t="n">
        <f aca="false">C123/(60*10^(-9))</f>
        <v>0</v>
      </c>
    </row>
    <row r="120" customFormat="false" ht="15.75" hidden="false" customHeight="false" outlineLevel="0" collapsed="false">
      <c r="A120" s="1" t="s">
        <v>115</v>
      </c>
      <c r="B120" s="1" t="n">
        <v>0.000169</v>
      </c>
      <c r="D120" s="0" t="n">
        <f aca="false">B120/(60*10^(-6))</f>
        <v>2.81666666666667</v>
      </c>
      <c r="E120" s="0" t="n">
        <f aca="false">C124/(60*10^(-9))</f>
        <v>0</v>
      </c>
    </row>
    <row r="121" customFormat="false" ht="15.75" hidden="false" customHeight="false" outlineLevel="0" collapsed="false">
      <c r="A121" s="1" t="s">
        <v>116</v>
      </c>
      <c r="B121" s="1" t="n">
        <v>0.031</v>
      </c>
      <c r="D121" s="0" t="n">
        <f aca="false">B121/(60*10^(-6))</f>
        <v>516.666666666667</v>
      </c>
      <c r="E121" s="0" t="n">
        <f aca="false">C125/(60*10^(-9))</f>
        <v>0</v>
      </c>
    </row>
    <row r="122" customFormat="false" ht="15.75" hidden="false" customHeight="false" outlineLevel="0" collapsed="false">
      <c r="A122" s="1" t="s">
        <v>117</v>
      </c>
      <c r="B122" s="1" t="n">
        <v>0.000161</v>
      </c>
      <c r="D122" s="0" t="n">
        <f aca="false">B122/(60*10^(-6))</f>
        <v>2.68333333333333</v>
      </c>
      <c r="E122" s="0" t="n">
        <f aca="false">C126/(60*10^(-9))</f>
        <v>0</v>
      </c>
    </row>
    <row r="123" customFormat="false" ht="15.75" hidden="false" customHeight="false" outlineLevel="0" collapsed="false">
      <c r="A123" s="1" t="s">
        <v>118</v>
      </c>
      <c r="B123" s="1" t="n">
        <v>0.0159</v>
      </c>
      <c r="E123" s="0" t="n">
        <f aca="false">C127/(60*10^(-9))</f>
        <v>0</v>
      </c>
    </row>
    <row r="124" customFormat="false" ht="15.75" hidden="false" customHeight="false" outlineLevel="0" collapsed="false">
      <c r="A124" s="1" t="s">
        <v>119</v>
      </c>
      <c r="B124" s="1" t="n">
        <v>0.0034</v>
      </c>
      <c r="D124" s="0" t="n">
        <f aca="false">B124/(60*10^(-6))</f>
        <v>56.6666666666667</v>
      </c>
      <c r="E124" s="0" t="n">
        <f aca="false">C128/(60*10^(-9))</f>
        <v>0</v>
      </c>
    </row>
    <row r="125" customFormat="false" ht="15.75" hidden="false" customHeight="false" outlineLevel="0" collapsed="false">
      <c r="A125" s="1" t="s">
        <v>120</v>
      </c>
      <c r="B125" s="1" t="n">
        <v>0.087</v>
      </c>
      <c r="E125" s="0" t="n">
        <f aca="false">C129/(60*10^(-9))</f>
        <v>0</v>
      </c>
    </row>
    <row r="126" customFormat="false" ht="15.75" hidden="false" customHeight="false" outlineLevel="0" collapsed="false">
      <c r="A126" s="1" t="s">
        <v>121</v>
      </c>
      <c r="B126" s="1" t="n">
        <v>0.00052</v>
      </c>
      <c r="D126" s="0" t="n">
        <f aca="false">B126/(60*10^(-6))</f>
        <v>8.66666666666667</v>
      </c>
      <c r="E126" s="0" t="n">
        <f aca="false">C130/(60*10^(-9))</f>
        <v>0</v>
      </c>
    </row>
    <row r="127" customFormat="false" ht="15.75" hidden="false" customHeight="false" outlineLevel="0" collapsed="false">
      <c r="A127" s="1" t="s">
        <v>122</v>
      </c>
      <c r="B127" s="1" t="n">
        <v>0.078</v>
      </c>
      <c r="E127" s="0" t="n">
        <f aca="false">C131/(60*10^(-9))</f>
        <v>0</v>
      </c>
    </row>
    <row r="128" customFormat="false" ht="15.75" hidden="false" customHeight="false" outlineLevel="0" collapsed="false">
      <c r="A128" s="1" t="s">
        <v>123</v>
      </c>
      <c r="B128" s="1" t="n">
        <v>2.6E-005</v>
      </c>
      <c r="D128" s="0" t="n">
        <f aca="false">B128/(60*10^(-6))</f>
        <v>0.433333333333333</v>
      </c>
      <c r="E128" s="0" t="n">
        <f aca="false">C132/(60*10^(-9))</f>
        <v>0</v>
      </c>
    </row>
    <row r="129" customFormat="false" ht="15.75" hidden="false" customHeight="false" outlineLevel="0" collapsed="false">
      <c r="A129" s="1" t="s">
        <v>124</v>
      </c>
      <c r="B129" s="1" t="n">
        <v>5.3E-005</v>
      </c>
      <c r="D129" s="0" t="n">
        <f aca="false">B129/(60*10^(-6))</f>
        <v>0.883333333333333</v>
      </c>
    </row>
    <row r="130" customFormat="false" ht="15.75" hidden="false" customHeight="false" outlineLevel="0" collapsed="false">
      <c r="A130" s="1" t="s">
        <v>125</v>
      </c>
      <c r="B130" s="1" t="n">
        <v>0.017</v>
      </c>
    </row>
    <row r="131" customFormat="false" ht="15.75" hidden="false" customHeight="false" outlineLevel="0" collapsed="false">
      <c r="A131" s="1" t="s">
        <v>126</v>
      </c>
      <c r="B131" s="1" t="n">
        <v>0.016</v>
      </c>
    </row>
    <row r="132" customFormat="false" ht="15.75" hidden="false" customHeight="false" outlineLevel="0" collapsed="false">
      <c r="A132" s="1" t="s">
        <v>127</v>
      </c>
      <c r="B132" s="1" t="n">
        <v>0.00169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6"/>
  <sheetViews>
    <sheetView showFormulas="false" showGridLines="true" showRowColHeaders="true" showZeros="true" rightToLeft="false" tabSelected="true" showOutlineSymbols="true" defaultGridColor="true" view="normal" topLeftCell="A46" colorId="64" zoomScale="120" zoomScaleNormal="120" zoomScalePageLayoutView="100" workbookViewId="0">
      <selection pane="topLeft" activeCell="B56" activeCellId="0" sqref="B56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2" width="12.5"/>
    <col collapsed="false" customWidth="true" hidden="false" outlineLevel="0" max="9" min="8" style="0" width="12.16"/>
    <col collapsed="false" customWidth="true" hidden="false" outlineLevel="0" max="11" min="11" style="0" width="12.16"/>
    <col collapsed="false" customWidth="true" hidden="false" outlineLevel="0" max="16" min="16" style="0" width="12.16"/>
    <col collapsed="false" customWidth="true" hidden="false" outlineLevel="0" max="18" min="18" style="0" width="12.16"/>
  </cols>
  <sheetData>
    <row r="1" customFormat="false" ht="15.75" hidden="false" customHeight="false" outlineLevel="0" collapsed="false">
      <c r="A1" s="3" t="s">
        <v>128</v>
      </c>
      <c r="B1" s="4" t="n">
        <v>1.4434</v>
      </c>
      <c r="C1" s="3" t="s">
        <v>129</v>
      </c>
      <c r="D1" s="5" t="s">
        <v>130</v>
      </c>
    </row>
    <row r="2" customFormat="false" ht="15.75" hidden="false" customHeight="false" outlineLevel="0" collapsed="false">
      <c r="A2" s="3" t="s">
        <v>131</v>
      </c>
      <c r="B2" s="4" t="s">
        <v>132</v>
      </c>
      <c r="C2" s="3" t="s">
        <v>129</v>
      </c>
      <c r="D2" s="5" t="s">
        <v>130</v>
      </c>
      <c r="E2" s="5" t="s">
        <v>133</v>
      </c>
      <c r="G2" s="0" t="s">
        <v>134</v>
      </c>
      <c r="R2" s="0" t="s">
        <v>135</v>
      </c>
      <c r="S2" s="0" t="s">
        <v>136</v>
      </c>
    </row>
    <row r="3" customFormat="false" ht="15.75" hidden="false" customHeight="false" outlineLevel="0" collapsed="false">
      <c r="A3" s="3" t="s">
        <v>137</v>
      </c>
      <c r="B3" s="4" t="n">
        <v>24</v>
      </c>
      <c r="C3" s="3" t="s">
        <v>129</v>
      </c>
      <c r="D3" s="5" t="s">
        <v>138</v>
      </c>
      <c r="E3" s="0" t="s">
        <v>139</v>
      </c>
      <c r="G3" s="6" t="s">
        <v>140</v>
      </c>
      <c r="H3" s="0" t="s">
        <v>129</v>
      </c>
      <c r="P3" s="0" t="n">
        <f aca="false">200/(R3*S3)</f>
        <v>6.66666666666667E-014</v>
      </c>
      <c r="Q3" s="0" t="s">
        <v>141</v>
      </c>
      <c r="R3" s="0" t="n">
        <f aca="false">5*10^(-9)</f>
        <v>5E-009</v>
      </c>
      <c r="S3" s="0" t="n">
        <f aca="false">6*10^(23)</f>
        <v>6E+023</v>
      </c>
      <c r="T3" s="0" t="n">
        <f aca="false">R3*S3</f>
        <v>3000000000000000</v>
      </c>
    </row>
    <row r="4" customFormat="false" ht="15.75" hidden="false" customHeight="false" outlineLevel="0" collapsed="false">
      <c r="A4" s="3" t="s">
        <v>137</v>
      </c>
      <c r="B4" s="7" t="s">
        <v>142</v>
      </c>
      <c r="C4" s="3" t="s">
        <v>129</v>
      </c>
      <c r="G4" s="0" t="s">
        <v>143</v>
      </c>
      <c r="H4" s="0" t="s">
        <v>129</v>
      </c>
      <c r="P4" s="0" t="n">
        <f aca="false">P3*1000</f>
        <v>6.66666666666667E-011</v>
      </c>
      <c r="Q4" s="0" t="s">
        <v>144</v>
      </c>
    </row>
    <row r="5" customFormat="false" ht="15.75" hidden="false" customHeight="false" outlineLevel="0" collapsed="false">
      <c r="A5" s="0" t="s">
        <v>145</v>
      </c>
      <c r="B5" s="2" t="n">
        <f aca="false">2*10^6</f>
        <v>2000000</v>
      </c>
      <c r="C5" s="0" t="s">
        <v>129</v>
      </c>
      <c r="D5" s="5" t="s">
        <v>146</v>
      </c>
      <c r="G5" s="0" t="s">
        <v>147</v>
      </c>
      <c r="H5" s="0" t="s">
        <v>129</v>
      </c>
      <c r="P5" s="0" t="n">
        <f aca="false">P4*10^9</f>
        <v>0.0666666666666667</v>
      </c>
      <c r="Q5" s="0" t="s">
        <v>148</v>
      </c>
    </row>
    <row r="6" customFormat="false" ht="15.75" hidden="false" customHeight="false" outlineLevel="0" collapsed="false">
      <c r="A6" s="0" t="s">
        <v>149</v>
      </c>
      <c r="B6" s="2" t="s">
        <v>150</v>
      </c>
      <c r="C6" s="0" t="s">
        <v>129</v>
      </c>
      <c r="D6" s="5" t="s">
        <v>151</v>
      </c>
      <c r="E6" s="5" t="s">
        <v>152</v>
      </c>
      <c r="F6" s="5" t="s">
        <v>153</v>
      </c>
      <c r="G6" s="0" t="s">
        <v>154</v>
      </c>
      <c r="H6" s="0" t="s">
        <v>129</v>
      </c>
    </row>
    <row r="7" customFormat="false" ht="15.75" hidden="false" customHeight="false" outlineLevel="0" collapsed="false">
      <c r="A7" s="0" t="s">
        <v>155</v>
      </c>
      <c r="B7" s="2" t="s">
        <v>156</v>
      </c>
      <c r="C7" s="0" t="s">
        <v>129</v>
      </c>
      <c r="D7" s="0" t="s">
        <v>153</v>
      </c>
      <c r="E7" s="5" t="s">
        <v>157</v>
      </c>
      <c r="G7" s="0" t="s">
        <v>158</v>
      </c>
    </row>
    <row r="8" customFormat="false" ht="15.75" hidden="false" customHeight="false" outlineLevel="0" collapsed="false">
      <c r="A8" s="0" t="s">
        <v>159</v>
      </c>
      <c r="B8" s="2" t="n">
        <v>250</v>
      </c>
      <c r="C8" s="0" t="s">
        <v>129</v>
      </c>
      <c r="D8" s="5" t="s">
        <v>160</v>
      </c>
    </row>
    <row r="9" customFormat="false" ht="15.75" hidden="false" customHeight="false" outlineLevel="0" collapsed="false">
      <c r="A9" s="0" t="s">
        <v>161</v>
      </c>
      <c r="B9" s="2" t="s">
        <v>162</v>
      </c>
      <c r="C9" s="0" t="s">
        <v>129</v>
      </c>
      <c r="D9" s="0" t="s">
        <v>151</v>
      </c>
      <c r="E9" s="0" t="s">
        <v>152</v>
      </c>
      <c r="F9" s="0" t="s">
        <v>163</v>
      </c>
    </row>
    <row r="10" customFormat="false" ht="15.75" hidden="false" customHeight="false" outlineLevel="0" collapsed="false">
      <c r="A10" s="8" t="s">
        <v>164</v>
      </c>
      <c r="B10" s="2" t="s">
        <v>165</v>
      </c>
      <c r="C10" s="8" t="s">
        <v>129</v>
      </c>
      <c r="D10" s="8" t="s">
        <v>166</v>
      </c>
      <c r="E10" s="8"/>
    </row>
    <row r="11" customFormat="false" ht="15.75" hidden="false" customHeight="false" outlineLevel="0" collapsed="false">
      <c r="A11" s="8" t="s">
        <v>167</v>
      </c>
      <c r="B11" s="2" t="s">
        <v>165</v>
      </c>
      <c r="C11" s="8" t="s">
        <v>129</v>
      </c>
      <c r="D11" s="8" t="s">
        <v>166</v>
      </c>
      <c r="E11" s="8"/>
    </row>
    <row r="12" customFormat="false" ht="15.75" hidden="false" customHeight="false" outlineLevel="0" collapsed="false">
      <c r="A12" s="0" t="s">
        <v>168</v>
      </c>
      <c r="B12" s="2" t="s">
        <v>165</v>
      </c>
      <c r="C12" s="0" t="s">
        <v>129</v>
      </c>
      <c r="D12" s="0" t="s">
        <v>169</v>
      </c>
    </row>
    <row r="13" customFormat="false" ht="15.75" hidden="false" customHeight="false" outlineLevel="0" collapsed="false">
      <c r="A13" s="0" t="s">
        <v>170</v>
      </c>
      <c r="B13" s="2" t="n">
        <v>10000</v>
      </c>
      <c r="C13" s="0" t="s">
        <v>129</v>
      </c>
      <c r="D13" s="5" t="s">
        <v>171</v>
      </c>
    </row>
    <row r="14" customFormat="false" ht="15.75" hidden="false" customHeight="false" outlineLevel="0" collapsed="false">
      <c r="A14" s="0" t="s">
        <v>172</v>
      </c>
      <c r="B14" s="2" t="s">
        <v>173</v>
      </c>
      <c r="C14" s="0" t="s">
        <v>129</v>
      </c>
      <c r="D14" s="0" t="s">
        <v>169</v>
      </c>
      <c r="I14" s="0" t="s">
        <v>174</v>
      </c>
    </row>
    <row r="15" customFormat="false" ht="15.75" hidden="false" customHeight="false" outlineLevel="0" collapsed="false">
      <c r="A15" s="0" t="s">
        <v>175</v>
      </c>
      <c r="B15" s="2" t="n">
        <f aca="false">14/VNa*10^9</f>
        <v>4.66666666666667E-006</v>
      </c>
      <c r="C15" s="0" t="s">
        <v>129</v>
      </c>
      <c r="D15" s="5" t="s">
        <v>176</v>
      </c>
      <c r="E15" s="0" t="s">
        <v>152</v>
      </c>
      <c r="I15" s="0" t="s">
        <v>177</v>
      </c>
    </row>
    <row r="16" customFormat="false" ht="15.75" hidden="false" customHeight="false" outlineLevel="0" collapsed="false">
      <c r="A16" s="0" t="s">
        <v>178</v>
      </c>
      <c r="B16" s="2" t="n">
        <f aca="false">10^5/VNa*10^9</f>
        <v>0.0333333333333333</v>
      </c>
      <c r="C16" s="0" t="s">
        <v>129</v>
      </c>
      <c r="D16" s="0" t="s">
        <v>176</v>
      </c>
      <c r="E16" s="0" t="s">
        <v>152</v>
      </c>
    </row>
    <row r="17" customFormat="false" ht="15.75" hidden="false" customHeight="false" outlineLevel="0" collapsed="false">
      <c r="A17" s="0" t="s">
        <v>179</v>
      </c>
      <c r="B17" s="2" t="s">
        <v>180</v>
      </c>
      <c r="C17" s="0" t="s">
        <v>129</v>
      </c>
      <c r="D17" s="0" t="s">
        <v>181</v>
      </c>
    </row>
    <row r="18" customFormat="false" ht="15.75" hidden="false" customHeight="false" outlineLevel="0" collapsed="false">
      <c r="A18" s="0" t="s">
        <v>182</v>
      </c>
      <c r="B18" s="2" t="n">
        <v>205</v>
      </c>
      <c r="C18" s="0" t="s">
        <v>129</v>
      </c>
      <c r="D18" s="0" t="s">
        <v>176</v>
      </c>
    </row>
    <row r="19" customFormat="false" ht="15.75" hidden="false" customHeight="false" outlineLevel="0" collapsed="false">
      <c r="A19" s="9" t="s">
        <v>183</v>
      </c>
      <c r="B19" s="10" t="n">
        <v>205</v>
      </c>
      <c r="C19" s="9" t="s">
        <v>129</v>
      </c>
      <c r="D19" s="9" t="s">
        <v>176</v>
      </c>
    </row>
    <row r="20" customFormat="false" ht="15.75" hidden="false" customHeight="false" outlineLevel="0" collapsed="false">
      <c r="A20" s="0" t="s">
        <v>184</v>
      </c>
      <c r="B20" s="2" t="s">
        <v>185</v>
      </c>
      <c r="C20" s="0" t="s">
        <v>129</v>
      </c>
      <c r="D20" s="0" t="s">
        <v>186</v>
      </c>
      <c r="G20" s="0" t="s">
        <v>187</v>
      </c>
    </row>
    <row r="21" customFormat="false" ht="15.75" hidden="false" customHeight="false" outlineLevel="0" collapsed="false">
      <c r="A21" s="0" t="s">
        <v>188</v>
      </c>
      <c r="B21" s="2" t="s">
        <v>189</v>
      </c>
      <c r="C21" s="0" t="s">
        <v>129</v>
      </c>
      <c r="D21" s="0" t="s">
        <v>151</v>
      </c>
      <c r="F21" s="2" t="s">
        <v>190</v>
      </c>
      <c r="G21" s="11"/>
    </row>
    <row r="22" customFormat="false" ht="15.75" hidden="false" customHeight="false" outlineLevel="0" collapsed="false">
      <c r="A22" s="0" t="s">
        <v>191</v>
      </c>
      <c r="B22" s="2" t="n">
        <v>1</v>
      </c>
      <c r="C22" s="0" t="s">
        <v>129</v>
      </c>
      <c r="D22" s="5" t="s">
        <v>192</v>
      </c>
      <c r="E22" s="5" t="s">
        <v>193</v>
      </c>
      <c r="F22" s="2" t="s">
        <v>194</v>
      </c>
      <c r="G22" s="11" t="n">
        <f aca="false">G21/VNa*10^9</f>
        <v>0</v>
      </c>
    </row>
    <row r="23" customFormat="false" ht="15.75" hidden="false" customHeight="false" outlineLevel="0" collapsed="false">
      <c r="A23" s="0" t="s">
        <v>195</v>
      </c>
      <c r="B23" s="2" t="n">
        <v>0.5</v>
      </c>
      <c r="C23" s="0" t="s">
        <v>129</v>
      </c>
      <c r="D23" s="0" t="s">
        <v>196</v>
      </c>
    </row>
    <row r="24" customFormat="false" ht="15.75" hidden="false" customHeight="false" outlineLevel="0" collapsed="false">
      <c r="A24" s="0" t="s">
        <v>197</v>
      </c>
      <c r="B24" s="2" t="n">
        <v>64.572</v>
      </c>
      <c r="C24" s="0" t="s">
        <v>129</v>
      </c>
      <c r="D24" s="0" t="s">
        <v>198</v>
      </c>
    </row>
    <row r="25" customFormat="false" ht="15.75" hidden="false" customHeight="false" outlineLevel="0" collapsed="false">
      <c r="A25" s="0" t="s">
        <v>199</v>
      </c>
      <c r="B25" s="2" t="s">
        <v>200</v>
      </c>
      <c r="C25" s="0" t="s">
        <v>129</v>
      </c>
      <c r="D25" s="5" t="s">
        <v>201</v>
      </c>
      <c r="E25" s="5" t="s">
        <v>163</v>
      </c>
    </row>
    <row r="26" customFormat="false" ht="15.75" hidden="false" customHeight="false" outlineLevel="0" collapsed="false">
      <c r="A26" s="0" t="s">
        <v>202</v>
      </c>
      <c r="B26" s="12" t="s">
        <v>203</v>
      </c>
      <c r="C26" s="0" t="s">
        <v>129</v>
      </c>
      <c r="D26" s="5" t="s">
        <v>139</v>
      </c>
      <c r="E26" s="0" t="s">
        <v>138</v>
      </c>
      <c r="F26" s="0" t="s">
        <v>204</v>
      </c>
    </row>
    <row r="27" customFormat="false" ht="15.75" hidden="false" customHeight="false" outlineLevel="0" collapsed="false">
      <c r="A27" s="0" t="s">
        <v>205</v>
      </c>
      <c r="B27" s="2" t="s">
        <v>206</v>
      </c>
      <c r="C27" s="0" t="s">
        <v>129</v>
      </c>
      <c r="D27" s="0" t="s">
        <v>207</v>
      </c>
    </row>
    <row r="28" customFormat="false" ht="15.75" hidden="false" customHeight="false" outlineLevel="0" collapsed="false">
      <c r="A28" s="0" t="s">
        <v>208</v>
      </c>
      <c r="B28" s="2" t="s">
        <v>209</v>
      </c>
      <c r="C28" s="0" t="s">
        <v>129</v>
      </c>
      <c r="D28" s="0" t="s">
        <v>207</v>
      </c>
    </row>
    <row r="29" customFormat="false" ht="15.75" hidden="false" customHeight="false" outlineLevel="0" collapsed="false">
      <c r="A29" s="0" t="s">
        <v>210</v>
      </c>
      <c r="B29" s="2" t="s">
        <v>209</v>
      </c>
      <c r="C29" s="0" t="s">
        <v>129</v>
      </c>
      <c r="D29" s="0" t="s">
        <v>207</v>
      </c>
    </row>
    <row r="30" customFormat="false" ht="15.75" hidden="false" customHeight="false" outlineLevel="0" collapsed="false">
      <c r="A30" s="0" t="s">
        <v>211</v>
      </c>
      <c r="B30" s="2" t="n">
        <v>25.8</v>
      </c>
      <c r="C30" s="0" t="s">
        <v>129</v>
      </c>
      <c r="D30" s="5" t="s">
        <v>212</v>
      </c>
      <c r="E30" s="5" t="s">
        <v>213</v>
      </c>
    </row>
    <row r="31" customFormat="false" ht="15.75" hidden="false" customHeight="false" outlineLevel="0" collapsed="false">
      <c r="A31" s="0" t="s">
        <v>214</v>
      </c>
      <c r="B31" s="2" t="n">
        <v>0</v>
      </c>
      <c r="C31" s="0" t="s">
        <v>129</v>
      </c>
      <c r="D31" s="0" t="s">
        <v>138</v>
      </c>
    </row>
    <row r="32" customFormat="false" ht="15.75" hidden="false" customHeight="false" outlineLevel="0" collapsed="false">
      <c r="A32" s="8" t="s">
        <v>215</v>
      </c>
      <c r="B32" s="13" t="s">
        <v>216</v>
      </c>
      <c r="C32" s="8" t="s">
        <v>129</v>
      </c>
      <c r="D32" s="8" t="s">
        <v>217</v>
      </c>
    </row>
    <row r="33" customFormat="false" ht="15.75" hidden="false" customHeight="false" outlineLevel="0" collapsed="false">
      <c r="A33" s="0" t="s">
        <v>218</v>
      </c>
      <c r="B33" s="2" t="n">
        <v>20</v>
      </c>
      <c r="C33" s="0" t="s">
        <v>129</v>
      </c>
      <c r="D33" s="5" t="s">
        <v>219</v>
      </c>
      <c r="E33" s="0" t="s">
        <v>220</v>
      </c>
    </row>
    <row r="34" customFormat="false" ht="15.75" hidden="false" customHeight="false" outlineLevel="0" collapsed="false">
      <c r="A34" s="0" t="s">
        <v>221</v>
      </c>
      <c r="B34" s="2" t="s">
        <v>222</v>
      </c>
      <c r="C34" s="0" t="s">
        <v>129</v>
      </c>
      <c r="D34" s="0" t="s">
        <v>223</v>
      </c>
    </row>
    <row r="35" customFormat="false" ht="15.75" hidden="false" customHeight="false" outlineLevel="0" collapsed="false">
      <c r="A35" s="0" t="s">
        <v>224</v>
      </c>
      <c r="B35" s="2" t="n">
        <v>15</v>
      </c>
      <c r="C35" s="0" t="s">
        <v>129</v>
      </c>
      <c r="D35" s="0" t="s">
        <v>212</v>
      </c>
    </row>
    <row r="36" customFormat="false" ht="15.75" hidden="false" customHeight="false" outlineLevel="0" collapsed="false">
      <c r="A36" s="0" t="s">
        <v>225</v>
      </c>
      <c r="B36" s="2" t="n">
        <v>150</v>
      </c>
      <c r="C36" s="0" t="s">
        <v>129</v>
      </c>
      <c r="D36" s="0" t="s">
        <v>226</v>
      </c>
    </row>
    <row r="37" customFormat="false" ht="15.75" hidden="false" customHeight="false" outlineLevel="0" collapsed="false">
      <c r="A37" s="0" t="s">
        <v>227</v>
      </c>
      <c r="B37" s="2" t="n">
        <v>6</v>
      </c>
      <c r="C37" s="0" t="s">
        <v>129</v>
      </c>
      <c r="D37" s="5" t="s">
        <v>228</v>
      </c>
      <c r="E37" s="0" t="s">
        <v>229</v>
      </c>
    </row>
    <row r="38" customFormat="false" ht="15.75" hidden="false" customHeight="false" outlineLevel="0" collapsed="false">
      <c r="A38" s="8" t="s">
        <v>230</v>
      </c>
      <c r="B38" s="14" t="s">
        <v>231</v>
      </c>
      <c r="C38" s="8" t="s">
        <v>129</v>
      </c>
      <c r="D38" s="8" t="s">
        <v>232</v>
      </c>
      <c r="E38" s="8" t="s">
        <v>217</v>
      </c>
    </row>
    <row r="39" customFormat="false" ht="15.75" hidden="false" customHeight="false" outlineLevel="0" collapsed="false">
      <c r="A39" s="8" t="s">
        <v>233</v>
      </c>
      <c r="B39" s="14" t="n">
        <v>100</v>
      </c>
      <c r="C39" s="8" t="s">
        <v>129</v>
      </c>
      <c r="D39" s="8" t="s">
        <v>234</v>
      </c>
      <c r="E39" s="8" t="s">
        <v>217</v>
      </c>
    </row>
    <row r="40" customFormat="false" ht="15.75" hidden="false" customHeight="false" outlineLevel="0" collapsed="false">
      <c r="A40" s="0" t="s">
        <v>235</v>
      </c>
      <c r="B40" s="2" t="s">
        <v>236</v>
      </c>
      <c r="C40" s="0" t="s">
        <v>129</v>
      </c>
      <c r="D40" s="5" t="s">
        <v>237</v>
      </c>
    </row>
    <row r="41" customFormat="false" ht="15.75" hidden="false" customHeight="false" outlineLevel="0" collapsed="false">
      <c r="A41" s="0" t="s">
        <v>238</v>
      </c>
      <c r="B41" s="2" t="s">
        <v>236</v>
      </c>
      <c r="C41" s="0" t="s">
        <v>129</v>
      </c>
      <c r="D41" s="5" t="s">
        <v>239</v>
      </c>
    </row>
    <row r="42" customFormat="false" ht="15.75" hidden="false" customHeight="false" outlineLevel="0" collapsed="false">
      <c r="A42" s="0" t="s">
        <v>240</v>
      </c>
      <c r="B42" s="2" t="s">
        <v>236</v>
      </c>
      <c r="C42" s="0" t="s">
        <v>129</v>
      </c>
      <c r="D42" s="0" t="s">
        <v>239</v>
      </c>
    </row>
    <row r="43" customFormat="false" ht="15.75" hidden="false" customHeight="false" outlineLevel="0" collapsed="false">
      <c r="A43" s="15" t="s">
        <v>241</v>
      </c>
      <c r="B43" s="16" t="s">
        <v>242</v>
      </c>
      <c r="C43" s="15" t="s">
        <v>129</v>
      </c>
      <c r="D43" s="15" t="s">
        <v>217</v>
      </c>
      <c r="E43" s="8"/>
    </row>
    <row r="44" customFormat="false" ht="15.75" hidden="false" customHeight="false" outlineLevel="0" collapsed="false">
      <c r="A44" s="0" t="s">
        <v>243</v>
      </c>
      <c r="B44" s="2" t="s">
        <v>244</v>
      </c>
      <c r="C44" s="0" t="s">
        <v>129</v>
      </c>
      <c r="D44" s="0" t="s">
        <v>239</v>
      </c>
    </row>
    <row r="45" customFormat="false" ht="15.75" hidden="false" customHeight="false" outlineLevel="0" collapsed="false">
      <c r="A45" s="0" t="s">
        <v>245</v>
      </c>
      <c r="B45" s="2" t="n">
        <f aca="false">27000/VNa*10^9</f>
        <v>0.009</v>
      </c>
      <c r="C45" s="0" t="s">
        <v>129</v>
      </c>
      <c r="D45" s="5" t="s">
        <v>246</v>
      </c>
    </row>
    <row r="46" customFormat="false" ht="15.75" hidden="false" customHeight="false" outlineLevel="0" collapsed="false">
      <c r="A46" s="0" t="s">
        <v>247</v>
      </c>
      <c r="B46" s="2" t="s">
        <v>248</v>
      </c>
      <c r="C46" s="0" t="s">
        <v>129</v>
      </c>
      <c r="D46" s="5" t="s">
        <v>249</v>
      </c>
      <c r="E46" s="5" t="s">
        <v>250</v>
      </c>
      <c r="F46" s="0" t="s">
        <v>251</v>
      </c>
    </row>
    <row r="47" customFormat="false" ht="15.75" hidden="false" customHeight="false" outlineLevel="0" collapsed="false">
      <c r="A47" s="0" t="s">
        <v>199</v>
      </c>
      <c r="B47" s="2" t="n">
        <v>100</v>
      </c>
      <c r="C47" s="0" t="s">
        <v>129</v>
      </c>
      <c r="D47" s="5" t="s">
        <v>252</v>
      </c>
      <c r="E47" s="0" t="s">
        <v>250</v>
      </c>
    </row>
    <row r="48" customFormat="false" ht="15.75" hidden="false" customHeight="false" outlineLevel="0" collapsed="false">
      <c r="A48" s="8" t="s">
        <v>253</v>
      </c>
      <c r="B48" s="14" t="n">
        <v>300</v>
      </c>
      <c r="C48" s="8" t="s">
        <v>129</v>
      </c>
      <c r="D48" s="8" t="s">
        <v>254</v>
      </c>
      <c r="E48" s="8" t="s">
        <v>217</v>
      </c>
    </row>
    <row r="49" customFormat="false" ht="15.75" hidden="false" customHeight="false" outlineLevel="0" collapsed="false">
      <c r="A49" s="17" t="s">
        <v>255</v>
      </c>
      <c r="B49" s="18" t="n">
        <v>20</v>
      </c>
      <c r="C49" s="17" t="s">
        <v>129</v>
      </c>
      <c r="D49" s="19" t="s">
        <v>256</v>
      </c>
      <c r="E49" s="17" t="s">
        <v>257</v>
      </c>
    </row>
    <row r="50" customFormat="false" ht="15.75" hidden="false" customHeight="false" outlineLevel="0" collapsed="false">
      <c r="A50" s="0" t="s">
        <v>258</v>
      </c>
      <c r="B50" s="2" t="n">
        <f aca="false">3000/VNa*10^9</f>
        <v>0.001</v>
      </c>
      <c r="C50" s="0" t="s">
        <v>129</v>
      </c>
      <c r="D50" s="0" t="s">
        <v>246</v>
      </c>
    </row>
    <row r="51" customFormat="false" ht="15.75" hidden="false" customHeight="false" outlineLevel="0" collapsed="false">
      <c r="A51" s="8" t="s">
        <v>259</v>
      </c>
      <c r="B51" s="14" t="s">
        <v>236</v>
      </c>
      <c r="C51" s="8" t="s">
        <v>129</v>
      </c>
      <c r="D51" s="8" t="s">
        <v>217</v>
      </c>
      <c r="E51" s="8"/>
    </row>
    <row r="52" customFormat="false" ht="15.75" hidden="false" customHeight="false" outlineLevel="0" collapsed="false">
      <c r="A52" s="0" t="s">
        <v>260</v>
      </c>
      <c r="B52" s="2" t="n">
        <v>250</v>
      </c>
      <c r="C52" s="0" t="s">
        <v>129</v>
      </c>
      <c r="D52" s="0" t="s">
        <v>249</v>
      </c>
      <c r="E52" s="0" t="s">
        <v>250</v>
      </c>
      <c r="F52" s="5" t="s">
        <v>261</v>
      </c>
      <c r="G52" s="0" t="s">
        <v>262</v>
      </c>
    </row>
    <row r="53" customFormat="false" ht="15.75" hidden="false" customHeight="false" outlineLevel="0" collapsed="false">
      <c r="A53" s="0" t="s">
        <v>263</v>
      </c>
      <c r="B53" s="2" t="n">
        <v>360</v>
      </c>
      <c r="C53" s="0" t="s">
        <v>129</v>
      </c>
      <c r="D53" s="0" t="s">
        <v>256</v>
      </c>
    </row>
    <row r="54" customFormat="false" ht="15.75" hidden="false" customHeight="false" outlineLevel="0" collapsed="false">
      <c r="A54" s="0" t="s">
        <v>264</v>
      </c>
      <c r="B54" s="2" t="s">
        <v>265</v>
      </c>
      <c r="C54" s="0" t="s">
        <v>129</v>
      </c>
      <c r="D54" s="0" t="s">
        <v>266</v>
      </c>
    </row>
    <row r="55" customFormat="false" ht="15.75" hidden="false" customHeight="false" outlineLevel="0" collapsed="false">
      <c r="A55" s="0" t="s">
        <v>267</v>
      </c>
      <c r="B55" s="2" t="n">
        <f aca="false">P5</f>
        <v>0.0666666666666667</v>
      </c>
      <c r="C55" s="0" t="s">
        <v>129</v>
      </c>
      <c r="D55" s="5" t="s">
        <v>268</v>
      </c>
    </row>
    <row r="56" customFormat="false" ht="15.75" hidden="false" customHeight="false" outlineLevel="0" collapsed="false">
      <c r="A56" s="0" t="s">
        <v>269</v>
      </c>
      <c r="B56" s="2" t="s">
        <v>270</v>
      </c>
      <c r="C56" s="0" t="s">
        <v>129</v>
      </c>
    </row>
  </sheetData>
  <hyperlinks>
    <hyperlink ref="D1" r:id="rId1" display="Neumann"/>
    <hyperlink ref="D2" r:id="rId2" display="Neumann"/>
    <hyperlink ref="E2" r:id="rId3" display="Kallenberger"/>
    <hyperlink ref="D3" r:id="rId4" display="bagci"/>
    <hyperlink ref="D5" r:id="rId5" display="tiveci"/>
    <hyperlink ref="D6" r:id="rId6" display="dolan"/>
    <hyperlink ref="E6" r:id="rId7" display="lemon"/>
    <hyperlink ref="F6" r:id="rId8" display="wang"/>
    <hyperlink ref="E7" r:id="rId9" display="eungdamrong"/>
    <hyperlink ref="D8" r:id="rId10" display="Sonntag"/>
    <hyperlink ref="D13" r:id="rId11" display="https://www.ncbi.nlm.nih.gov/pmc/articles/PMC9070113/"/>
    <hyperlink ref="D15" r:id="rId12" display="smith"/>
    <hyperlink ref="D22" r:id="rId13" display="iancu"/>
    <hyperlink ref="E22" r:id="rId14" display="nakano"/>
    <hyperlink ref="D25" r:id="rId15" display="shin"/>
    <hyperlink ref="E25" r:id="rId16" display="hat"/>
    <hyperlink ref="D26" r:id="rId17" display="raychaudhuri"/>
    <hyperlink ref="D30" r:id="rId18" display="chong"/>
    <hyperlink ref="E30" r:id="rId19" display="geva"/>
    <hyperlink ref="D33" r:id="rId20" display="Ashraf"/>
    <hyperlink ref="D37" r:id="rId21" display="chong2"/>
    <hyperlink ref="D40" r:id="rId22" display="sundaramurthy"/>
    <hyperlink ref="D41" r:id="rId23" display="Tavassoly"/>
    <hyperlink ref="D45" r:id="rId24" display="Broadbent"/>
    <hyperlink ref="D46" r:id="rId25" display="dalle"/>
    <hyperlink ref="E46" r:id="rId26" display="varusai"/>
    <hyperlink ref="D47" r:id="rId27" display="bidkhori"/>
    <hyperlink ref="D49" r:id="rId28" display="muller"/>
    <hyperlink ref="F52" r:id="rId29" display="dorvash"/>
    <hyperlink ref="D55" r:id="rId30" display="https://www.tandfonline.com/doi/full/10.1080/15548627.2018.146959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6" activeCellId="0" sqref="C26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271</v>
      </c>
      <c r="B1" s="0" t="s">
        <v>272</v>
      </c>
      <c r="C1" s="0" t="s">
        <v>258</v>
      </c>
      <c r="D1" s="0" t="s">
        <v>273</v>
      </c>
      <c r="E1" s="0" t="s">
        <v>159</v>
      </c>
      <c r="F1" s="0" t="s">
        <v>274</v>
      </c>
      <c r="G1" s="0" t="s">
        <v>267</v>
      </c>
      <c r="H1" s="0" t="s">
        <v>275</v>
      </c>
    </row>
    <row r="2" customFormat="false" ht="15.75" hidden="false" customHeight="false" outlineLevel="0" collapsed="false">
      <c r="A2" s="20" t="n">
        <v>1</v>
      </c>
      <c r="B2" s="20" t="n">
        <v>0.057708371</v>
      </c>
      <c r="C2" s="20" t="n">
        <v>1</v>
      </c>
      <c r="D2" s="20" t="n">
        <v>0.06659417</v>
      </c>
      <c r="E2" s="20" t="n">
        <v>1</v>
      </c>
      <c r="F2" s="20" t="n">
        <v>0.113762439</v>
      </c>
      <c r="G2" s="20" t="n">
        <v>1</v>
      </c>
      <c r="H2" s="20" t="n">
        <v>0.052919863</v>
      </c>
    </row>
    <row r="3" customFormat="false" ht="15.75" hidden="false" customHeight="false" outlineLevel="0" collapsed="false">
      <c r="A3" s="20" t="n">
        <v>0.328824908</v>
      </c>
      <c r="B3" s="20" t="n">
        <v>0.033738787</v>
      </c>
      <c r="C3" s="20" t="n">
        <v>0.736130795</v>
      </c>
      <c r="D3" s="20" t="n">
        <v>0.012741815</v>
      </c>
      <c r="E3" s="20" t="n">
        <v>5.874494001</v>
      </c>
      <c r="F3" s="20" t="n">
        <v>0.151931424</v>
      </c>
      <c r="G3" s="20" t="n">
        <v>2.678453256</v>
      </c>
      <c r="H3" s="20" t="n">
        <v>0.196272068</v>
      </c>
    </row>
    <row r="4" customFormat="false" ht="15.75" hidden="false" customHeight="false" outlineLevel="0" collapsed="false">
      <c r="A4" s="20" t="n">
        <v>0.245583783</v>
      </c>
      <c r="B4" s="20" t="n">
        <v>0.0124392</v>
      </c>
      <c r="C4" s="20" t="n">
        <v>0.642196733</v>
      </c>
      <c r="D4" s="20" t="n">
        <v>0.041460076</v>
      </c>
      <c r="E4" s="20" t="n">
        <v>12.00608973</v>
      </c>
      <c r="F4" s="20" t="n">
        <v>0.225558969</v>
      </c>
      <c r="G4" s="20" t="n">
        <v>2.326520958</v>
      </c>
      <c r="H4" s="20" t="n">
        <v>0.21323128</v>
      </c>
    </row>
    <row r="5" customFormat="false" ht="15.75" hidden="false" customHeight="false" outlineLevel="0" collapsed="false">
      <c r="A5" s="20" t="n">
        <v>0.406145533</v>
      </c>
      <c r="B5" s="20" t="n">
        <v>0.077622761</v>
      </c>
      <c r="C5" s="20" t="n">
        <v>0.824566071</v>
      </c>
      <c r="D5" s="20" t="n">
        <v>0.006662436</v>
      </c>
      <c r="E5" s="20" t="n">
        <v>9.293454641</v>
      </c>
      <c r="F5" s="20" t="n">
        <v>0.076389622</v>
      </c>
      <c r="G5" s="20" t="n">
        <v>1.77141628</v>
      </c>
      <c r="H5" s="20" t="n">
        <v>0.112561902</v>
      </c>
    </row>
    <row r="6" customFormat="false" ht="15.75" hidden="false" customHeight="false" outlineLevel="0" collapsed="false">
      <c r="A6" s="20" t="n">
        <v>0.452013067</v>
      </c>
      <c r="B6" s="20" t="n">
        <v>0.060164088</v>
      </c>
      <c r="C6" s="20" t="n">
        <v>0.616804233</v>
      </c>
      <c r="D6" s="20" t="n">
        <v>0.025687951</v>
      </c>
      <c r="E6" s="20" t="n">
        <v>6.352155462</v>
      </c>
      <c r="F6" s="20" t="n">
        <v>0.113317853</v>
      </c>
      <c r="G6" s="20" t="n">
        <v>2.199335445</v>
      </c>
      <c r="H6" s="20" t="n">
        <v>0.121303907</v>
      </c>
    </row>
    <row r="7" customFormat="false" ht="15.75" hidden="false" customHeight="false" outlineLevel="0" collapsed="false">
      <c r="A7" s="20" t="n">
        <v>0.511601478</v>
      </c>
      <c r="B7" s="20" t="n">
        <v>0.011503304</v>
      </c>
      <c r="C7" s="20" t="n">
        <v>0.547645692</v>
      </c>
      <c r="D7" s="20" t="n">
        <v>0.005493335</v>
      </c>
      <c r="E7" s="20" t="n">
        <v>6.358520131</v>
      </c>
      <c r="F7" s="20" t="n">
        <v>0.254350078</v>
      </c>
      <c r="G7" s="20" t="n">
        <v>2.848776153</v>
      </c>
      <c r="H7" s="20" t="n">
        <v>0.095341645</v>
      </c>
    </row>
    <row r="8" customFormat="false" ht="15.75" hidden="false" customHeight="false" outlineLevel="0" collapsed="false">
      <c r="A8" s="20" t="n">
        <v>0.199496967</v>
      </c>
      <c r="B8" s="20" t="n">
        <v>0.045938233</v>
      </c>
      <c r="C8" s="20" t="n">
        <v>0.506191749</v>
      </c>
      <c r="D8" s="20" t="n">
        <v>0.011392007</v>
      </c>
      <c r="E8" s="20" t="n">
        <v>9.346884844</v>
      </c>
      <c r="F8" s="20" t="n">
        <v>0.340815117</v>
      </c>
      <c r="G8" s="20" t="n">
        <v>2.084090103</v>
      </c>
      <c r="H8" s="20" t="n">
        <v>0.189995246</v>
      </c>
    </row>
    <row r="9" customFormat="false" ht="15.75" hidden="false" customHeight="false" outlineLevel="0" collapsed="false">
      <c r="A9" s="20" t="n">
        <v>0.163379163</v>
      </c>
      <c r="B9" s="20" t="n">
        <v>0.109206759</v>
      </c>
      <c r="C9" s="20" t="n">
        <v>0.510822206</v>
      </c>
      <c r="D9" s="20" t="n">
        <v>0.02937321</v>
      </c>
      <c r="E9" s="20" t="n">
        <v>9.580699906</v>
      </c>
      <c r="F9" s="20" t="n">
        <v>1.162044437</v>
      </c>
      <c r="G9" s="20" t="n">
        <v>1.700446987</v>
      </c>
      <c r="H9" s="20" t="n">
        <v>0.077889356</v>
      </c>
    </row>
    <row r="10" customFormat="false" ht="15.75" hidden="false" customHeight="false" outlineLevel="0" collapsed="false">
      <c r="A10" s="20" t="n">
        <v>0.116531919</v>
      </c>
      <c r="B10" s="20" t="n">
        <v>0.042836171</v>
      </c>
      <c r="C10" s="20" t="n">
        <v>0.628275564</v>
      </c>
      <c r="D10" s="20" t="n">
        <v>0.001210989</v>
      </c>
      <c r="E10" s="20" t="n">
        <v>11.71887078</v>
      </c>
      <c r="F10" s="20" t="n">
        <v>0.966047945</v>
      </c>
      <c r="G10" s="20" t="n">
        <v>3.545101178</v>
      </c>
      <c r="H10" s="20" t="n">
        <v>0.312004383</v>
      </c>
    </row>
    <row r="11" customFormat="false" ht="15.75" hidden="false" customHeight="false" outlineLevel="0" collapsed="false">
      <c r="A11" s="20" t="n">
        <v>0.145393099</v>
      </c>
      <c r="B11" s="20" t="n">
        <v>0.100218</v>
      </c>
      <c r="C11" s="20" t="n">
        <v>0.594305875</v>
      </c>
      <c r="D11" s="20" t="n">
        <v>0.06340267</v>
      </c>
      <c r="E11" s="20" t="n">
        <v>4.616744267</v>
      </c>
      <c r="F11" s="20" t="n">
        <v>0.178812298</v>
      </c>
      <c r="G11" s="20" t="n">
        <v>4.32653867</v>
      </c>
      <c r="H11" s="20" t="n">
        <v>0.126669768</v>
      </c>
    </row>
    <row r="12" customFormat="false" ht="15.75" hidden="false" customHeight="false" outlineLevel="0" collapsed="false">
      <c r="A12" s="20" t="n">
        <v>0.180639585</v>
      </c>
      <c r="B12" s="20" t="n">
        <v>0.05223528</v>
      </c>
      <c r="C12" s="20" t="n">
        <v>0.625180698</v>
      </c>
      <c r="D12" s="20" t="n">
        <v>0.05062999</v>
      </c>
      <c r="E12" s="20" t="n">
        <v>3.711634044</v>
      </c>
      <c r="F12" s="20" t="n">
        <v>0.285834693</v>
      </c>
      <c r="G12" s="20" t="n">
        <v>2.289979681</v>
      </c>
      <c r="H12" s="20" t="n">
        <v>0.151026932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2024-02-16T09:17:47Z</dcterms:created>
  <dc:creator>Hajdú Bence</dc:creator>
  <dc:description/>
  <dc:language>en-US</dc:language>
  <cp:lastModifiedBy/>
  <dcterms:modified xsi:type="dcterms:W3CDTF">2024-08-08T12:18:11Z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